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er primero" sheetId="1" state="visible" r:id="rId3"/>
    <sheet name="Supuestos" sheetId="2" state="visible" r:id="rId4"/>
    <sheet name="BOM mesa" sheetId="3" state="visible" r:id="rId5"/>
    <sheet name="BOM kit" sheetId="4" state="visible" r:id="rId6"/>
    <sheet name="Economia unitaria" sheetId="5" state="visible" r:id="rId7"/>
    <sheet name="Escenarios" sheetId="6" state="visible" r:id="rId8"/>
    <sheet name="Caja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20" authorId="0">
      <text>
        <r>
          <rPr>
            <sz val="10"/>
            <rFont val="Arial"/>
            <family val="2"/>
          </rPr>
          <t xml:space="preserve">Margen bruto resultante ~44 % a coste de 100 unidades. Ver hoja 'Economia unitaria'.</t>
        </r>
      </text>
    </comment>
    <comment ref="B27" authorId="0">
      <text>
        <r>
          <rPr>
            <sz val="10"/>
            <rFont val="Arial"/>
            <family val="2"/>
          </rPr>
          <t xml:space="preserve">A este precio la contribucion es del 25 % del neto. Por debajo de 2.500 € el negocio no cubre el soporte.</t>
        </r>
      </text>
    </comment>
  </commentList>
</comments>
</file>

<file path=xl/sharedStrings.xml><?xml version="1.0" encoding="utf-8"?>
<sst xmlns="http://schemas.openxmlformats.org/spreadsheetml/2006/main" count="287" uniqueCount="259">
  <si>
    <t xml:space="preserve">MesaRPG — Modelo economico</t>
  </si>
  <si>
    <t xml:space="preserve">MRPG-FIN-01 Rev. A · 23-08-2026 · acompana a MRPG-BIZ-01 y MRPG-TABLE-02</t>
  </si>
  <si>
    <t xml:space="preserve">COMO USAR ESTE LIBRO</t>
  </si>
  <si>
    <t xml:space="preserve">1.</t>
  </si>
  <si>
    <t xml:space="preserve">Cambia solo las celdas AZULES con fondo AMARILLO de la hoja 'Supuestos'. Todo lo demas se recalcula.</t>
  </si>
  <si>
    <t xml:space="preserve">2.</t>
  </si>
  <si>
    <t xml:space="preserve">Las hojas 'BOM mesa' y 'BOM kit' tienen precios unitarios editables (azul) por si consigues otra oferta.</t>
  </si>
  <si>
    <t xml:space="preserve">3.</t>
  </si>
  <si>
    <t xml:space="preserve">'Economia unitaria' te dice lo que ganas por unidad. 'Escenarios' agrega la campana. 'Caja' proyecta 10 trimestres.</t>
  </si>
  <si>
    <t xml:space="preserve">4.</t>
  </si>
  <si>
    <t xml:space="preserve">Ningun numero de este libro es un presupuesto cerrado. Son estimaciones de agosto de 2026 a verificar con proveedores.</t>
  </si>
  <si>
    <t xml:space="preserve">CODIGO DE COLOR</t>
  </si>
  <si>
    <t xml:space="preserve">Azul sobre amarillo</t>
  </si>
  <si>
    <t xml:space="preserve">Supuesto que debes revisar y cambiar. Es una decision tuya, no un dato.</t>
  </si>
  <si>
    <t xml:space="preserve">Azul</t>
  </si>
  <si>
    <t xml:space="preserve">Dato introducido a mano (precio de proveedor, tarifa, referencia de mercado).</t>
  </si>
  <si>
    <t xml:space="preserve">Negro</t>
  </si>
  <si>
    <t xml:space="preserve">Formula calculada dentro de la misma hoja. No tocar.</t>
  </si>
  <si>
    <t xml:space="preserve">Verde</t>
  </si>
  <si>
    <t xml:space="preserve">Formula que trae un valor de otra hoja. No tocar.</t>
  </si>
  <si>
    <t xml:space="preserve">DE DONDE SALEN LAS REFERENCIAS EXTERNAS</t>
  </si>
  <si>
    <t xml:space="preserve">Comisiones Kickstarter</t>
  </si>
  <si>
    <t xml:space="preserve">5 % de plataforma + 3 % + 0,30 € de procesamiento para creadores en Espana (kickstarter.com/help/fees, ago-2026).</t>
  </si>
  <si>
    <t xml:space="preserve">Coste por email / seguidor</t>
  </si>
  <si>
    <t xml:space="preserve">1-3 € por email, 2-5 € por seguidor de campana; conversion media seguidor-&gt;mecenas ~30 % (prelaunch.marketing, 2026).</t>
  </si>
  <si>
    <t xml:space="preserve">Transporte paletizado UE</t>
  </si>
  <si>
    <t xml:space="preserve">36-84 € por palet desde Espana segun destino, tarifas B2B Q2-2026 (trans-road.com).</t>
  </si>
  <si>
    <t xml:space="preserve">Coste de marcado CE</t>
  </si>
  <si>
    <t xml:space="preserve">750-1.500 € para electronica de red; 1.500-3.000 € si entra ensayo de radio (ecocomply.ai, 2026).</t>
  </si>
  <si>
    <t xml:space="preserve">Precios de componentes</t>
  </si>
  <si>
    <t xml:space="preserve">Raspberry Pi 5 y AI HAT+ de precio oficial; resto estimado a partir de catalogos de distribuidor, ago-2026.</t>
  </si>
  <si>
    <t xml:space="preserve">Precio de la competencia</t>
  </si>
  <si>
    <t xml:space="preserve">Arena de Game Theory Tables, mesa digital tactil 4K: 7.299 $ (gametheorytables.com, ago-2026).</t>
  </si>
  <si>
    <t xml:space="preserve">Supuestos</t>
  </si>
  <si>
    <t xml:space="preserve">Cambia solo las celdas azules sobre amarillo. Todas las demas hojas leen de aqui.</t>
  </si>
  <si>
    <t xml:space="preserve">GENERAL</t>
  </si>
  <si>
    <t xml:space="preserve">Tipo de IVA</t>
  </si>
  <si>
    <t xml:space="preserve">Espana, tipo general.</t>
  </si>
  <si>
    <t xml:space="preserve">Horas dedicadas por semana</t>
  </si>
  <si>
    <t xml:space="preserve">El recurso mas escaso del proyecto. Si baja de 8, el calendario se estira.</t>
  </si>
  <si>
    <t xml:space="preserve">Capital propio disponible</t>
  </si>
  <si>
    <t xml:space="preserve">Punto de partida declarado.</t>
  </si>
  <si>
    <t xml:space="preserve">SOFTWARE — FASE 1</t>
  </si>
  <si>
    <t xml:space="preserve">PVP licencia perpetua (sin IVA)</t>
  </si>
  <si>
    <t xml:space="preserve">Referencia: Foundry VTT cobra 50 $ una sola vez.</t>
  </si>
  <si>
    <t xml:space="preserve">Comision de tienda y pago</t>
  </si>
  <si>
    <t xml:space="preserve">itch.io + pasarela. Con venta directa propia baja al 4-6 %.</t>
  </si>
  <si>
    <t xml:space="preserve">Licencias vendidas — ano 1</t>
  </si>
  <si>
    <t xml:space="preserve">Umbral de la Puerta P1 del plan comercial.</t>
  </si>
  <si>
    <t xml:space="preserve">Licencias vendidas — ano 2</t>
  </si>
  <si>
    <t xml:space="preserve">Licencias vendidas — ano 3</t>
  </si>
  <si>
    <t xml:space="preserve">Suscriptores IA en nube (media ano 3)</t>
  </si>
  <si>
    <t xml:space="preserve">Capa opcional de pago.</t>
  </si>
  <si>
    <t xml:space="preserve">Precio suscripcion mensual</t>
  </si>
  <si>
    <t xml:space="preserve">Coste de nube por suscriptor y mes</t>
  </si>
  <si>
    <t xml:space="preserve">Inferencia LLM en nube. Verificar con proveedor real.</t>
  </si>
  <si>
    <t xml:space="preserve">KIT NUCLEO — FASE 2</t>
  </si>
  <si>
    <t xml:space="preserve">PVP kit (con IVA)</t>
  </si>
  <si>
    <t xml:space="preserve">Pi 5 + AI HAT + camaras + LEDs + licencia, montado y calibrado.</t>
  </si>
  <si>
    <t xml:space="preserve">Unidades ano 2</t>
  </si>
  <si>
    <t xml:space="preserve">Umbral de la Puerta P2.</t>
  </si>
  <si>
    <t xml:space="preserve">Unidades ano 3</t>
  </si>
  <si>
    <t xml:space="preserve">Coste de envio del kit (paquete 2,5 kg)</t>
  </si>
  <si>
    <t xml:space="preserve">Paqueteria estandar UE. Se repercute al cliente.</t>
  </si>
  <si>
    <t xml:space="preserve">Tasa de devolucion del kit</t>
  </si>
  <si>
    <t xml:space="preserve">Umbral de alarma de la Puerta P2: 8 %.</t>
  </si>
  <si>
    <t xml:space="preserve">Comision de pago del kit (tienda propia)</t>
  </si>
  <si>
    <t xml:space="preserve">Pasarela de pago propia. Mucho mas baja que la comision de tienda de software.</t>
  </si>
  <si>
    <t xml:space="preserve">MESA — FASE 3</t>
  </si>
  <si>
    <t xml:space="preserve">PVP mesa Estandar (con IVA)</t>
  </si>
  <si>
    <t xml:space="preserve">La Arena de Game Theory Tables cuesta 7.299 $. Hay hueco por debajo.</t>
  </si>
  <si>
    <t xml:space="preserve">Sobreprecio SKU Premium (marco tactil IR)</t>
  </si>
  <si>
    <t xml:space="preserve">Coste incremental ~130 € a 100 ud.</t>
  </si>
  <si>
    <t xml:space="preserve">% de pedidos Premium</t>
  </si>
  <si>
    <t xml:space="preserve">Comision de plataforma de campana</t>
  </si>
  <si>
    <t xml:space="preserve">5 % Kickstarter + ~3-4 % de procesamiento.</t>
  </si>
  <si>
    <t xml:space="preserve">Comision de gestor de pledges</t>
  </si>
  <si>
    <t xml:space="preserve">Pledge manager y gestion de IVA.</t>
  </si>
  <si>
    <t xml:space="preserve">Marketing como % del ingreso neto</t>
  </si>
  <si>
    <t xml:space="preserve">Referencia del sector: 15-25 % del objetivo de recaudacion.</t>
  </si>
  <si>
    <t xml:space="preserve">Envio cobrado al cliente</t>
  </si>
  <si>
    <t xml:space="preserve">Coste real de envio</t>
  </si>
  <si>
    <t xml:space="preserve">4 bultos de menos de 25 kg, o palet. Ver MRPG-TABLE-02 §11.</t>
  </si>
  <si>
    <t xml:space="preserve">Mesas vendidas en campana</t>
  </si>
  <si>
    <t xml:space="preserve">Mesas B2B previas a la campana</t>
  </si>
  <si>
    <t xml:space="preserve">Umbral de la Puerta P3: minimo 10 instaladas.</t>
  </si>
  <si>
    <t xml:space="preserve">COSTES FIJOS Y DE ENTRADA</t>
  </si>
  <si>
    <t xml:space="preserve">Prototipos (3 iteraciones)</t>
  </si>
  <si>
    <t xml:space="preserve">Ver MRPG-BIZ-01 §01.</t>
  </si>
  <si>
    <t xml:space="preserve">Marcado CE (EMC + LVD + RED)</t>
  </si>
  <si>
    <t xml:space="preserve">750-3.000 € segun si entra ensayo de radio.</t>
  </si>
  <si>
    <t xml:space="preserve">Expediente GPSR y analisis de riesgos</t>
  </si>
  <si>
    <t xml:space="preserve">Obligatorio desde el 13-12-2024.</t>
  </si>
  <si>
    <t xml:space="preserve">Utillaje y plantillas</t>
  </si>
  <si>
    <t xml:space="preserve">Matriz de plegado, plantillas CNC, cunas de embalaje.</t>
  </si>
  <si>
    <t xml:space="preserve">Cumplimiento anual (RAEE, envases, asesoria)</t>
  </si>
  <si>
    <t xml:space="preserve">Recurrente desde la Fase 3.</t>
  </si>
  <si>
    <t xml:space="preserve">Gastos fijos mensuales (cuota, software, hosting)</t>
  </si>
  <si>
    <t xml:space="preserve">Autonomo o SL. Ajustar a tu situacion real.</t>
  </si>
  <si>
    <t xml:space="preserve">Nota: ninguna de estas cifras es un presupuesto en firme. Verificar con proveedores antes de comprometer dinero.</t>
  </si>
  <si>
    <t xml:space="preserve">Lista de materiales — mesa completa</t>
  </si>
  <si>
    <t xml:space="preserve">Precios estimados puesto en almacen, agosto 2026. Columnas azules editables.</t>
  </si>
  <si>
    <t xml:space="preserve">Partida</t>
  </si>
  <si>
    <t xml:space="preserve">Coste 1 ud.</t>
  </si>
  <si>
    <t xml:space="preserve">Coste 100 ud.</t>
  </si>
  <si>
    <t xml:space="preserve">Masa (kg)</t>
  </si>
  <si>
    <t xml:space="preserve">Nota</t>
  </si>
  <si>
    <t xml:space="preserve">Panel 55" 4K open frame</t>
  </si>
  <si>
    <t xml:space="preserve">Verificar contorno exacto: varia ±8 mm entre fabricantes</t>
  </si>
  <si>
    <t xml:space="preserve">Vidrio 6 mm bajo hierro, AR, templado, cantos pulidos</t>
  </si>
  <si>
    <t xml:space="preserve">1240 x 712 mm. A 4 mm la flecha toca el panel</t>
  </si>
  <si>
    <t xml:space="preserve">Bastidor de acero cortado y plegado + pintura en polvo</t>
  </si>
  <si>
    <t xml:space="preserve">Tubo 25x25x1,5 S235JR, ~14,5 m</t>
  </si>
  <si>
    <t xml:space="preserve">Faldon DM/chapado CNC + acabado</t>
  </si>
  <si>
    <t xml:space="preserve">18 mm, 4,9 m x 150 mm</t>
  </si>
  <si>
    <t xml:space="preserve">Bandeja inferior contrachapado 12 mm</t>
  </si>
  <si>
    <t xml:space="preserve">Incluida en la partida de faldon</t>
  </si>
  <si>
    <t xml:space="preserve">Raspberry Pi 5 8 GB</t>
  </si>
  <si>
    <t xml:space="preserve">Precio oficial</t>
  </si>
  <si>
    <t xml:space="preserve">AI HAT+ 26 TOPS (Hailo-8)</t>
  </si>
  <si>
    <t xml:space="preserve">Precio oficial Raspberry Pi</t>
  </si>
  <si>
    <t xml:space="preserve">SSD NVMe 128 GB + adaptador</t>
  </si>
  <si>
    <t xml:space="preserve">Camaras CM3 Wide + CM3 NoIR + cables</t>
  </si>
  <si>
    <t xml:space="preserve">Dos camaras: resuelve paralaje y oclusion por manos</t>
  </si>
  <si>
    <t xml:space="preserve">Iluminacion IR 850 nm + filtro paso banda</t>
  </si>
  <si>
    <t xml:space="preserve">Hipotesis clave de MRPG-TABLE-02 §05</t>
  </si>
  <si>
    <t xml:space="preserve">Tira WS2815 4,1 m + ESP32 + canal y difusor</t>
  </si>
  <si>
    <t xml:space="preserve">12 V con linea de datos redundante</t>
  </si>
  <si>
    <t xml:space="preserve">Fuente 12 V 150 W + IEC/fusible/interruptor + mazo</t>
  </si>
  <si>
    <t xml:space="preserve">Fuente con marcado CE propio</t>
  </si>
  <si>
    <t xml:space="preserve">Ventiladores 2 x 120 mm PWM + rejillas + filtro</t>
  </si>
  <si>
    <t xml:space="preserve">60 m3/h a 600-800 rpm</t>
  </si>
  <si>
    <t xml:space="preserve">Altavoces x2 + amplificador clase D</t>
  </si>
  <si>
    <t xml:space="preserve">Tornilleria, insertos M8, junta EPDM, pies regulables</t>
  </si>
  <si>
    <t xml:space="preserve">Embalaje: cajas, cuna de vidrio, espuma, impresion</t>
  </si>
  <si>
    <t xml:space="preserve">4 bultos de menos de 25 kg</t>
  </si>
  <si>
    <t xml:space="preserve">Subtotal materiales</t>
  </si>
  <si>
    <t xml:space="preserve">Montaje y control de calidad (1,5 h)</t>
  </si>
  <si>
    <t xml:space="preserve">Reserva de merma y garantia</t>
  </si>
  <si>
    <t xml:space="preserve">COSTE UNITARIO PUESTO EN ALMACEN</t>
  </si>
  <si>
    <t xml:space="preserve">Marco tactil IR 55" — solo SKU Premium</t>
  </si>
  <si>
    <t xml:space="preserve">Masa total ensamblada (kg)</t>
  </si>
  <si>
    <t xml:space="preserve">Limite de paqueteria UE por bulto (kg)</t>
  </si>
  <si>
    <t xml:space="preserve">Los transportistas UE cortan entre 20 y 31,5 kg segun servicio. 31,5 es el techo, no la norma: baja a 20 si quieres tarifa economica</t>
  </si>
  <si>
    <t xml:space="preserve">Bultos minimos necesarios</t>
  </si>
  <si>
    <t xml:space="preserve">Se anaden 7 kg de embalaje al peso neto</t>
  </si>
  <si>
    <t xml:space="preserve">Lista de materiales — Kit Nucleo</t>
  </si>
  <si>
    <t xml:space="preserve">El cerebro sin el mueble: 2,5 kg, paqueteria estandar, sin red electrica interna.</t>
  </si>
  <si>
    <t xml:space="preserve">Dos camaras, ver MRPG-TABLE-02 §04</t>
  </si>
  <si>
    <t xml:space="preserve">Brazo/soporte de camara plegable</t>
  </si>
  <si>
    <t xml:space="preserve">Aluminio, mordaza universal para borde de mesa</t>
  </si>
  <si>
    <t xml:space="preserve">Iluminacion IR 850 nm + filtro</t>
  </si>
  <si>
    <t xml:space="preserve">Tira WS2815 3 m + ESP32 + canal</t>
  </si>
  <si>
    <t xml:space="preserve">Caja de aluminio + disipacion + ventilador</t>
  </si>
  <si>
    <t xml:space="preserve">Fuente USB-C 27 W certificada</t>
  </si>
  <si>
    <t xml:space="preserve">Externa: evita meter red electrica en tu carcasa</t>
  </si>
  <si>
    <t xml:space="preserve">Embalaje + guia impresa + patron de calibracion</t>
  </si>
  <si>
    <t xml:space="preserve">COSTE UNITARIO DEL KIT</t>
  </si>
  <si>
    <t xml:space="preserve">Economia unitaria</t>
  </si>
  <si>
    <t xml:space="preserve">Que queda de cada unidad vendida, por linea de producto.</t>
  </si>
  <si>
    <t xml:space="preserve">Concepto</t>
  </si>
  <si>
    <t xml:space="preserve">Mesa Estandar</t>
  </si>
  <si>
    <t xml:space="preserve">Mesa Premium</t>
  </si>
  <si>
    <t xml:space="preserve">Kit Nucleo</t>
  </si>
  <si>
    <t xml:space="preserve">PVP con IVA</t>
  </si>
  <si>
    <t xml:space="preserve">IVA repercutido</t>
  </si>
  <si>
    <t xml:space="preserve">Ingreso neto</t>
  </si>
  <si>
    <t xml:space="preserve">Coste de fabricacion (100 ud.)</t>
  </si>
  <si>
    <t xml:space="preserve">Comision de plataforma o pasarela</t>
  </si>
  <si>
    <t xml:space="preserve">La mesa se vende en campana con comision alta; el kit, en tienda propia con pasarela</t>
  </si>
  <si>
    <t xml:space="preserve">Marketing amortizado</t>
  </si>
  <si>
    <t xml:space="preserve">El kit se vende con marketing ya pagado por la Fase 1</t>
  </si>
  <si>
    <t xml:space="preserve">Diferencia de envio (cobrado - real)</t>
  </si>
  <si>
    <t xml:space="preserve">Coste de devoluciones</t>
  </si>
  <si>
    <t xml:space="preserve">Kit: tasa de devolucion aplicada sobre el coste</t>
  </si>
  <si>
    <t xml:space="preserve">CONTRIBUCION POR UNIDAD</t>
  </si>
  <si>
    <t xml:space="preserve">Margen de contribucion sobre neto</t>
  </si>
  <si>
    <t xml:space="preserve">SOFTWARE — licencia perpetua</t>
  </si>
  <si>
    <t xml:space="preserve">Por licencia</t>
  </si>
  <si>
    <t xml:space="preserve">PVP sin IVA</t>
  </si>
  <si>
    <t xml:space="preserve">Coste marginal de servir</t>
  </si>
  <si>
    <t xml:space="preserve">Descarga. Cero coste variable real</t>
  </si>
  <si>
    <t xml:space="preserve">CONTRIBUCION POR LICENCIA</t>
  </si>
  <si>
    <t xml:space="preserve">Margen de contribucion</t>
  </si>
  <si>
    <t xml:space="preserve">COMPARACION: cuanto hay que vender para ganar 100.000 € de contribucion</t>
  </si>
  <si>
    <t xml:space="preserve">Linea</t>
  </si>
  <si>
    <t xml:space="preserve">Unidades necesarias</t>
  </si>
  <si>
    <t xml:space="preserve">Recaudacion bruta</t>
  </si>
  <si>
    <t xml:space="preserve">Mesas Estandar</t>
  </si>
  <si>
    <t xml:space="preserve">Kits Nucleo</t>
  </si>
  <si>
    <t xml:space="preserve">Licencias de software</t>
  </si>
  <si>
    <t xml:space="preserve">Esta tabla es el argumento numerico de toda la escalera del plan comercial: la misma contribucion con muchisimo menos riesgo fisico.</t>
  </si>
  <si>
    <t xml:space="preserve">Escenarios de campana</t>
  </si>
  <si>
    <t xml:space="preserve">Tres niveles de resultado. El escenario 'Base' usa los supuestos tal como estan.</t>
  </si>
  <si>
    <t xml:space="preserve">Pesimista</t>
  </si>
  <si>
    <t xml:space="preserve">Base</t>
  </si>
  <si>
    <t xml:space="preserve">Optimista</t>
  </si>
  <si>
    <t xml:space="preserve">Mesas vendidas</t>
  </si>
  <si>
    <t xml:space="preserve">Referencia: la campana de Arena, mesa digital de TTRPG, logro 266 mecenas en 2024</t>
  </si>
  <si>
    <t xml:space="preserve">% Premium</t>
  </si>
  <si>
    <t xml:space="preserve">Kits vendidos en la campana</t>
  </si>
  <si>
    <t xml:space="preserve">Licencias vendidas en la campana</t>
  </si>
  <si>
    <t xml:space="preserve">RECAUDACION</t>
  </si>
  <si>
    <t xml:space="preserve">Mesas Premium</t>
  </si>
  <si>
    <t xml:space="preserve">Kits</t>
  </si>
  <si>
    <t xml:space="preserve">Licencias</t>
  </si>
  <si>
    <t xml:space="preserve">RECAUDACION BRUTA</t>
  </si>
  <si>
    <t xml:space="preserve">CONTRIBUCION</t>
  </si>
  <si>
    <t xml:space="preserve">CONTRIBUCION TOTAL</t>
  </si>
  <si>
    <t xml:space="preserve">COSTES DE ENTRADA A DESCONTAR (una sola vez)</t>
  </si>
  <si>
    <t xml:space="preserve">Prototipos</t>
  </si>
  <si>
    <t xml:space="preserve">Marcado CE</t>
  </si>
  <si>
    <t xml:space="preserve">Expediente GPSR</t>
  </si>
  <si>
    <t xml:space="preserve">RESULTADO DESPUES DE COSTES DE ENTRADA</t>
  </si>
  <si>
    <t xml:space="preserve">PUNTO DE EQUILIBRIO</t>
  </si>
  <si>
    <t xml:space="preserve">Mesas necesarias para cubrir costes de entrada</t>
  </si>
  <si>
    <t xml:space="preserve">Solo con mesas, sin contar kits ni licencias</t>
  </si>
  <si>
    <t xml:space="preserve">Aviso: la recaudacion bruta NO es dinero disponible. El IVA se liquida antes de fabricar; reservalo en cuenta separada el dia que entra.</t>
  </si>
  <si>
    <t xml:space="preserve">Proyeccion de caja — 10 trimestres</t>
  </si>
  <si>
    <t xml:space="preserve">Sigue la escalera del plan comercial. Trimestre 1 = mes 1-3.</t>
  </si>
  <si>
    <t xml:space="preserve">T1</t>
  </si>
  <si>
    <t xml:space="preserve">T2</t>
  </si>
  <si>
    <t xml:space="preserve">T3</t>
  </si>
  <si>
    <t xml:space="preserve">T4</t>
  </si>
  <si>
    <t xml:space="preserve">T5</t>
  </si>
  <si>
    <t xml:space="preserve">T6</t>
  </si>
  <si>
    <t xml:space="preserve">T7</t>
  </si>
  <si>
    <t xml:space="preserve">T8</t>
  </si>
  <si>
    <t xml:space="preserve">T9</t>
  </si>
  <si>
    <t xml:space="preserve">T10</t>
  </si>
  <si>
    <t xml:space="preserve">Fase del plan</t>
  </si>
  <si>
    <t xml:space="preserve">Fase 0</t>
  </si>
  <si>
    <t xml:space="preserve">Fase 1</t>
  </si>
  <si>
    <t xml:space="preserve">Fase 1-2</t>
  </si>
  <si>
    <t xml:space="preserve">Fase 2</t>
  </si>
  <si>
    <t xml:space="preserve">Fase 2-3</t>
  </si>
  <si>
    <t xml:space="preserve">Fase 3</t>
  </si>
  <si>
    <t xml:space="preserve">ENTRADAS</t>
  </si>
  <si>
    <t xml:space="preserve">Licencias vendidas (ud.)</t>
  </si>
  <si>
    <t xml:space="preserve">Kits vendidos (ud.)</t>
  </si>
  <si>
    <t xml:space="preserve">Mesas vendidas (ud.)</t>
  </si>
  <si>
    <t xml:space="preserve">Ingreso por licencias</t>
  </si>
  <si>
    <t xml:space="preserve">Ingreso por kits</t>
  </si>
  <si>
    <t xml:space="preserve">Ingreso por mesas (neto de IVA)</t>
  </si>
  <si>
    <t xml:space="preserve">TOTAL ENTRADAS</t>
  </si>
  <si>
    <t xml:space="preserve">SALIDAS</t>
  </si>
  <si>
    <t xml:space="preserve">Gastos fijos</t>
  </si>
  <si>
    <t xml:space="preserve">Marketing y publicidad</t>
  </si>
  <si>
    <t xml:space="preserve">Coste de kits vendidos</t>
  </si>
  <si>
    <t xml:space="preserve">Coste de mesas vendidas</t>
  </si>
  <si>
    <t xml:space="preserve">Certificacion y expediente tecnico</t>
  </si>
  <si>
    <t xml:space="preserve">Inventario inicial de kits</t>
  </si>
  <si>
    <t xml:space="preserve">TOTAL SALIDAS</t>
  </si>
  <si>
    <t xml:space="preserve">FLUJO DEL TRIMESTRE</t>
  </si>
  <si>
    <t xml:space="preserve">Caja al inicio</t>
  </si>
  <si>
    <t xml:space="preserve">CAJA AL CIERRE</t>
  </si>
  <si>
    <t xml:space="preserve">Trimestre en numeros rojos</t>
  </si>
  <si>
    <t xml:space="preserve">Las filas azules sobre amarillo son escenario, no prediccion: cambialas para ver como responde la caja.</t>
  </si>
  <si>
    <t xml:space="preserve">Si alguna casilla de la fila 30 dice SI, ese trimestre necesitas financiacion antes de llegar a el. Ver la escalera de financiacion en MRPG-BIZ-01 §08.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</si>
</sst>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%"/>
    <numFmt numFmtId="166" formatCode="#,##0;\(#,##0\);\-"/>
    <numFmt numFmtId="167" formatCode="#,##0&quot; €&quot;;\(#,##0&quot; €)&quot;;\-"/>
    <numFmt numFmtId="168" formatCode="#,##0.00&quot; €&quot;;\(#,##0.00&quot; €)&quot;;\-"/>
    <numFmt numFmtId="169" formatCode="0.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F5F5F"/>
      <name val="Arial"/>
      <family val="0"/>
      <charset val="1"/>
    </font>
    <font>
      <sz val="9"/>
      <color rgb="FF666666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  <font>
      <sz val="10"/>
      <color rgb="FF008000"/>
      <name val="Arial"/>
      <family val="0"/>
      <charset val="1"/>
    </font>
    <font>
      <b val="true"/>
      <sz val="9"/>
      <color rgb="FF8C3226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F5F5F"/>
        <bgColor rgb="FF008080"/>
      </patternFill>
    </fill>
    <fill>
      <patternFill patternType="solid">
        <fgColor rgb="FFFFFF00"/>
        <bgColor rgb="FFFFFF00"/>
      </patternFill>
    </fill>
    <fill>
      <patternFill patternType="solid">
        <fgColor rgb="FFDCEBE9"/>
        <bgColor rgb="FFEDEFEE"/>
      </patternFill>
    </fill>
    <fill>
      <patternFill patternType="solid">
        <fgColor rgb="FFEDEFEE"/>
        <bgColor rgb="FFDCEBE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 diagonalUp="false" diagonalDown="false">
      <left/>
      <right/>
      <top style="medium">
        <color rgb="FF0F5F5F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5F5F"/>
      <rgbColor rgb="FFBBBBBB"/>
      <rgbColor rgb="FF808080"/>
      <rgbColor rgb="FF9999FF"/>
      <rgbColor rgb="FF993366"/>
      <rgbColor rgb="FFEDEFEE"/>
      <rgbColor rgb="FFDCEBE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8C3226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/>
      <c r="B4" s="4"/>
    </row>
    <row r="5" customFormat="false" ht="30" hidden="false" customHeight="true" outlineLevel="0" collapsed="false">
      <c r="A5" s="5" t="s">
        <v>2</v>
      </c>
      <c r="B5" s="6"/>
    </row>
    <row r="6" customFormat="false" ht="30" hidden="false" customHeight="true" outlineLevel="0" collapsed="false">
      <c r="A6" s="3"/>
      <c r="B6" s="4"/>
    </row>
    <row r="7" customFormat="false" ht="30" hidden="false" customHeight="true" outlineLevel="0" collapsed="false">
      <c r="A7" s="3" t="s">
        <v>3</v>
      </c>
      <c r="B7" s="4" t="s">
        <v>4</v>
      </c>
    </row>
    <row r="8" customFormat="false" ht="30" hidden="false" customHeight="true" outlineLevel="0" collapsed="false">
      <c r="A8" s="3" t="s">
        <v>5</v>
      </c>
      <c r="B8" s="4" t="s">
        <v>6</v>
      </c>
    </row>
    <row r="9" customFormat="false" ht="30" hidden="false" customHeight="true" outlineLevel="0" collapsed="false">
      <c r="A9" s="3" t="s">
        <v>7</v>
      </c>
      <c r="B9" s="4" t="s">
        <v>8</v>
      </c>
    </row>
    <row r="10" customFormat="false" ht="30" hidden="false" customHeight="true" outlineLevel="0" collapsed="false">
      <c r="A10" s="3" t="s">
        <v>9</v>
      </c>
      <c r="B10" s="4" t="s">
        <v>10</v>
      </c>
    </row>
    <row r="11" customFormat="false" ht="30" hidden="false" customHeight="true" outlineLevel="0" collapsed="false">
      <c r="A11" s="3"/>
      <c r="B11" s="4"/>
    </row>
    <row r="12" customFormat="false" ht="30" hidden="false" customHeight="true" outlineLevel="0" collapsed="false">
      <c r="A12" s="5" t="s">
        <v>11</v>
      </c>
      <c r="B12" s="6"/>
    </row>
    <row r="13" customFormat="false" ht="30" hidden="false" customHeight="true" outlineLevel="0" collapsed="false">
      <c r="A13" s="7"/>
      <c r="B13" s="4"/>
    </row>
    <row r="14" customFormat="false" ht="30" hidden="false" customHeight="true" outlineLevel="0" collapsed="false">
      <c r="A14" s="8" t="s">
        <v>12</v>
      </c>
      <c r="B14" s="4" t="s">
        <v>13</v>
      </c>
    </row>
    <row r="15" customFormat="false" ht="30" hidden="false" customHeight="true" outlineLevel="0" collapsed="false">
      <c r="A15" s="9" t="s">
        <v>14</v>
      </c>
      <c r="B15" s="4" t="s">
        <v>15</v>
      </c>
    </row>
    <row r="16" customFormat="false" ht="30" hidden="false" customHeight="true" outlineLevel="0" collapsed="false">
      <c r="A16" s="10" t="s">
        <v>16</v>
      </c>
      <c r="B16" s="4" t="s">
        <v>17</v>
      </c>
    </row>
    <row r="17" customFormat="false" ht="30" hidden="false" customHeight="true" outlineLevel="0" collapsed="false">
      <c r="A17" s="3" t="s">
        <v>18</v>
      </c>
      <c r="B17" s="4" t="s">
        <v>19</v>
      </c>
    </row>
    <row r="18" customFormat="false" ht="30" hidden="false" customHeight="true" outlineLevel="0" collapsed="false">
      <c r="A18" s="3"/>
      <c r="B18" s="4"/>
    </row>
    <row r="19" customFormat="false" ht="30" hidden="false" customHeight="true" outlineLevel="0" collapsed="false">
      <c r="A19" s="5" t="s">
        <v>20</v>
      </c>
      <c r="B19" s="6"/>
    </row>
    <row r="20" customFormat="false" ht="30" hidden="false" customHeight="true" outlineLevel="0" collapsed="false">
      <c r="A20" s="3"/>
      <c r="B20" s="4"/>
    </row>
    <row r="21" customFormat="false" ht="30" hidden="false" customHeight="true" outlineLevel="0" collapsed="false">
      <c r="A21" s="3" t="s">
        <v>21</v>
      </c>
      <c r="B21" s="4" t="s">
        <v>22</v>
      </c>
    </row>
    <row r="22" customFormat="false" ht="30" hidden="false" customHeight="true" outlineLevel="0" collapsed="false">
      <c r="A22" s="3" t="s">
        <v>23</v>
      </c>
      <c r="B22" s="4" t="s">
        <v>24</v>
      </c>
    </row>
    <row r="23" customFormat="false" ht="30" hidden="false" customHeight="true" outlineLevel="0" collapsed="false">
      <c r="A23" s="3" t="s">
        <v>25</v>
      </c>
      <c r="B23" s="4" t="s">
        <v>26</v>
      </c>
    </row>
    <row r="24" customFormat="false" ht="30" hidden="false" customHeight="true" outlineLevel="0" collapsed="false">
      <c r="A24" s="3" t="s">
        <v>27</v>
      </c>
      <c r="B24" s="4" t="s">
        <v>28</v>
      </c>
    </row>
    <row r="25" customFormat="false" ht="30" hidden="false" customHeight="true" outlineLevel="0" collapsed="false">
      <c r="A25" s="3" t="s">
        <v>29</v>
      </c>
      <c r="B25" s="4" t="s">
        <v>30</v>
      </c>
    </row>
    <row r="26" customFormat="false" ht="30" hidden="false" customHeight="true" outlineLevel="0" collapsed="false">
      <c r="A26" s="3" t="s">
        <v>31</v>
      </c>
      <c r="B26" s="4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3" min="3" style="0" width="66"/>
  </cols>
  <sheetData>
    <row r="1" customFormat="false" ht="17.35" hidden="false" customHeight="false" outlineLevel="0" collapsed="false">
      <c r="A1" s="1" t="s">
        <v>33</v>
      </c>
    </row>
    <row r="2" customFormat="false" ht="15" hidden="false" customHeight="false" outlineLevel="0" collapsed="false">
      <c r="A2" s="2" t="s">
        <v>34</v>
      </c>
    </row>
    <row r="4" customFormat="false" ht="15" hidden="false" customHeight="false" outlineLevel="0" collapsed="false">
      <c r="A4" s="5" t="s">
        <v>35</v>
      </c>
      <c r="B4" s="11"/>
      <c r="C4" s="11"/>
    </row>
    <row r="5" customFormat="false" ht="25.5" hidden="false" customHeight="true" outlineLevel="0" collapsed="false">
      <c r="A5" s="3" t="s">
        <v>36</v>
      </c>
      <c r="B5" s="12" t="n">
        <v>0.21</v>
      </c>
      <c r="C5" s="13" t="s">
        <v>37</v>
      </c>
    </row>
    <row r="6" customFormat="false" ht="25.5" hidden="false" customHeight="true" outlineLevel="0" collapsed="false">
      <c r="A6" s="3" t="s">
        <v>38</v>
      </c>
      <c r="B6" s="14" t="n">
        <v>12</v>
      </c>
      <c r="C6" s="13" t="s">
        <v>39</v>
      </c>
    </row>
    <row r="7" customFormat="false" ht="25.5" hidden="false" customHeight="true" outlineLevel="0" collapsed="false">
      <c r="A7" s="3" t="s">
        <v>40</v>
      </c>
      <c r="B7" s="15" t="n">
        <v>5000</v>
      </c>
      <c r="C7" s="13" t="s">
        <v>41</v>
      </c>
    </row>
    <row r="9" customFormat="false" ht="15" hidden="false" customHeight="false" outlineLevel="0" collapsed="false">
      <c r="A9" s="5" t="s">
        <v>42</v>
      </c>
      <c r="B9" s="11"/>
      <c r="C9" s="11"/>
    </row>
    <row r="10" customFormat="false" ht="25.5" hidden="false" customHeight="true" outlineLevel="0" collapsed="false">
      <c r="A10" s="3" t="s">
        <v>43</v>
      </c>
      <c r="B10" s="15" t="n">
        <v>49</v>
      </c>
      <c r="C10" s="13" t="s">
        <v>44</v>
      </c>
    </row>
    <row r="11" customFormat="false" ht="25.5" hidden="false" customHeight="true" outlineLevel="0" collapsed="false">
      <c r="A11" s="3" t="s">
        <v>45</v>
      </c>
      <c r="B11" s="12" t="n">
        <v>0.12</v>
      </c>
      <c r="C11" s="13" t="s">
        <v>46</v>
      </c>
    </row>
    <row r="12" customFormat="false" ht="25.5" hidden="false" customHeight="true" outlineLevel="0" collapsed="false">
      <c r="A12" s="3" t="s">
        <v>47</v>
      </c>
      <c r="B12" s="14" t="n">
        <v>300</v>
      </c>
      <c r="C12" s="13" t="s">
        <v>48</v>
      </c>
    </row>
    <row r="13" customFormat="false" ht="25.5" hidden="false" customHeight="true" outlineLevel="0" collapsed="false">
      <c r="A13" s="3" t="s">
        <v>49</v>
      </c>
      <c r="B13" s="14" t="n">
        <v>1200</v>
      </c>
      <c r="C13" s="13"/>
    </row>
    <row r="14" customFormat="false" ht="25.5" hidden="false" customHeight="true" outlineLevel="0" collapsed="false">
      <c r="A14" s="3" t="s">
        <v>50</v>
      </c>
      <c r="B14" s="14" t="n">
        <v>3000</v>
      </c>
      <c r="C14" s="13"/>
    </row>
    <row r="15" customFormat="false" ht="25.5" hidden="false" customHeight="true" outlineLevel="0" collapsed="false">
      <c r="A15" s="3" t="s">
        <v>51</v>
      </c>
      <c r="B15" s="14" t="n">
        <v>250</v>
      </c>
      <c r="C15" s="13" t="s">
        <v>52</v>
      </c>
    </row>
    <row r="16" customFormat="false" ht="25.5" hidden="false" customHeight="true" outlineLevel="0" collapsed="false">
      <c r="A16" s="3" t="s">
        <v>53</v>
      </c>
      <c r="B16" s="15" t="n">
        <v>5</v>
      </c>
      <c r="C16" s="13"/>
    </row>
    <row r="17" customFormat="false" ht="25.5" hidden="false" customHeight="true" outlineLevel="0" collapsed="false">
      <c r="A17" s="3" t="s">
        <v>54</v>
      </c>
      <c r="B17" s="16" t="n">
        <v>1.6</v>
      </c>
      <c r="C17" s="13" t="s">
        <v>55</v>
      </c>
    </row>
    <row r="19" customFormat="false" ht="15" hidden="false" customHeight="false" outlineLevel="0" collapsed="false">
      <c r="A19" s="5" t="s">
        <v>56</v>
      </c>
      <c r="B19" s="11"/>
      <c r="C19" s="11"/>
    </row>
    <row r="20" customFormat="false" ht="25.5" hidden="false" customHeight="true" outlineLevel="0" collapsed="false">
      <c r="A20" s="3" t="s">
        <v>57</v>
      </c>
      <c r="B20" s="15" t="n">
        <v>799</v>
      </c>
      <c r="C20" s="13" t="s">
        <v>58</v>
      </c>
    </row>
    <row r="21" customFormat="false" ht="25.5" hidden="false" customHeight="true" outlineLevel="0" collapsed="false">
      <c r="A21" s="3" t="s">
        <v>59</v>
      </c>
      <c r="B21" s="14" t="n">
        <v>50</v>
      </c>
      <c r="C21" s="13" t="s">
        <v>60</v>
      </c>
    </row>
    <row r="22" customFormat="false" ht="25.5" hidden="false" customHeight="true" outlineLevel="0" collapsed="false">
      <c r="A22" s="3" t="s">
        <v>61</v>
      </c>
      <c r="B22" s="14" t="n">
        <v>250</v>
      </c>
      <c r="C22" s="13"/>
    </row>
    <row r="23" customFormat="false" ht="25.5" hidden="false" customHeight="true" outlineLevel="0" collapsed="false">
      <c r="A23" s="3" t="s">
        <v>62</v>
      </c>
      <c r="B23" s="15" t="n">
        <v>14</v>
      </c>
      <c r="C23" s="13" t="s">
        <v>63</v>
      </c>
    </row>
    <row r="24" customFormat="false" ht="25.5" hidden="false" customHeight="true" outlineLevel="0" collapsed="false">
      <c r="A24" s="3" t="s">
        <v>64</v>
      </c>
      <c r="B24" s="12" t="n">
        <v>0.06</v>
      </c>
      <c r="C24" s="13" t="s">
        <v>65</v>
      </c>
    </row>
    <row r="25" customFormat="false" ht="25.5" hidden="false" customHeight="true" outlineLevel="0" collapsed="false">
      <c r="A25" s="3" t="s">
        <v>66</v>
      </c>
      <c r="B25" s="12" t="n">
        <v>0.035</v>
      </c>
      <c r="C25" s="13" t="s">
        <v>67</v>
      </c>
    </row>
    <row r="26" customFormat="false" ht="15" hidden="false" customHeight="false" outlineLevel="0" collapsed="false">
      <c r="A26" s="5" t="s">
        <v>68</v>
      </c>
      <c r="B26" s="11"/>
      <c r="C26" s="11"/>
    </row>
    <row r="27" customFormat="false" ht="25.5" hidden="false" customHeight="true" outlineLevel="0" collapsed="false">
      <c r="A27" s="3" t="s">
        <v>69</v>
      </c>
      <c r="B27" s="15" t="n">
        <v>2899</v>
      </c>
      <c r="C27" s="13" t="s">
        <v>70</v>
      </c>
    </row>
    <row r="28" customFormat="false" ht="25.5" hidden="false" customHeight="true" outlineLevel="0" collapsed="false">
      <c r="A28" s="3" t="s">
        <v>71</v>
      </c>
      <c r="B28" s="15" t="n">
        <v>400</v>
      </c>
      <c r="C28" s="13" t="s">
        <v>72</v>
      </c>
    </row>
    <row r="29" customFormat="false" ht="25.5" hidden="false" customHeight="true" outlineLevel="0" collapsed="false">
      <c r="A29" s="3" t="s">
        <v>73</v>
      </c>
      <c r="B29" s="12" t="n">
        <v>0.3</v>
      </c>
      <c r="C29" s="13"/>
    </row>
    <row r="30" customFormat="false" ht="25.5" hidden="false" customHeight="true" outlineLevel="0" collapsed="false">
      <c r="A30" s="3" t="s">
        <v>74</v>
      </c>
      <c r="B30" s="12" t="n">
        <v>0.09</v>
      </c>
      <c r="C30" s="13" t="s">
        <v>75</v>
      </c>
    </row>
    <row r="31" customFormat="false" ht="25.5" hidden="false" customHeight="true" outlineLevel="0" collapsed="false">
      <c r="A31" s="3" t="s">
        <v>76</v>
      </c>
      <c r="B31" s="12" t="n">
        <v>0.04</v>
      </c>
      <c r="C31" s="13" t="s">
        <v>77</v>
      </c>
    </row>
    <row r="32" customFormat="false" ht="25.5" hidden="false" customHeight="true" outlineLevel="0" collapsed="false">
      <c r="A32" s="3" t="s">
        <v>78</v>
      </c>
      <c r="B32" s="12" t="n">
        <v>0.15</v>
      </c>
      <c r="C32" s="13" t="s">
        <v>79</v>
      </c>
    </row>
    <row r="33" customFormat="false" ht="25.5" hidden="false" customHeight="true" outlineLevel="0" collapsed="false">
      <c r="A33" s="3" t="s">
        <v>80</v>
      </c>
      <c r="B33" s="15" t="n">
        <v>120</v>
      </c>
      <c r="C33" s="13"/>
    </row>
    <row r="34" customFormat="false" ht="25.5" hidden="false" customHeight="true" outlineLevel="0" collapsed="false">
      <c r="A34" s="3" t="s">
        <v>81</v>
      </c>
      <c r="B34" s="15" t="n">
        <v>130</v>
      </c>
      <c r="C34" s="13" t="s">
        <v>82</v>
      </c>
    </row>
    <row r="35" customFormat="false" ht="25.5" hidden="false" customHeight="true" outlineLevel="0" collapsed="false">
      <c r="A35" s="3" t="s">
        <v>83</v>
      </c>
      <c r="B35" s="14" t="n">
        <v>150</v>
      </c>
      <c r="C35" s="13"/>
    </row>
    <row r="36" customFormat="false" ht="25.5" hidden="false" customHeight="true" outlineLevel="0" collapsed="false">
      <c r="A36" s="3" t="s">
        <v>84</v>
      </c>
      <c r="B36" s="14" t="n">
        <v>12</v>
      </c>
      <c r="C36" s="13" t="s">
        <v>85</v>
      </c>
    </row>
    <row r="38" customFormat="false" ht="15" hidden="false" customHeight="false" outlineLevel="0" collapsed="false">
      <c r="A38" s="5" t="s">
        <v>86</v>
      </c>
      <c r="B38" s="11"/>
      <c r="C38" s="11"/>
    </row>
    <row r="39" customFormat="false" ht="25.5" hidden="false" customHeight="true" outlineLevel="0" collapsed="false">
      <c r="A39" s="3" t="s">
        <v>87</v>
      </c>
      <c r="B39" s="15" t="n">
        <v>6000</v>
      </c>
      <c r="C39" s="13" t="s">
        <v>88</v>
      </c>
    </row>
    <row r="40" customFormat="false" ht="25.5" hidden="false" customHeight="true" outlineLevel="0" collapsed="false">
      <c r="A40" s="3" t="s">
        <v>89</v>
      </c>
      <c r="B40" s="15" t="n">
        <v>3500</v>
      </c>
      <c r="C40" s="13" t="s">
        <v>90</v>
      </c>
    </row>
    <row r="41" customFormat="false" ht="25.5" hidden="false" customHeight="true" outlineLevel="0" collapsed="false">
      <c r="A41" s="3" t="s">
        <v>91</v>
      </c>
      <c r="B41" s="15" t="n">
        <v>1200</v>
      </c>
      <c r="C41" s="13" t="s">
        <v>92</v>
      </c>
    </row>
    <row r="42" customFormat="false" ht="25.5" hidden="false" customHeight="true" outlineLevel="0" collapsed="false">
      <c r="A42" s="3" t="s">
        <v>93</v>
      </c>
      <c r="B42" s="15" t="n">
        <v>9000</v>
      </c>
      <c r="C42" s="13" t="s">
        <v>94</v>
      </c>
    </row>
    <row r="43" customFormat="false" ht="25.5" hidden="false" customHeight="true" outlineLevel="0" collapsed="false">
      <c r="A43" s="3" t="s">
        <v>95</v>
      </c>
      <c r="B43" s="15" t="n">
        <v>3500</v>
      </c>
      <c r="C43" s="13" t="s">
        <v>96</v>
      </c>
    </row>
    <row r="44" customFormat="false" ht="25.5" hidden="false" customHeight="true" outlineLevel="0" collapsed="false">
      <c r="A44" s="3" t="s">
        <v>97</v>
      </c>
      <c r="B44" s="15" t="n">
        <v>450</v>
      </c>
      <c r="C44" s="13" t="s">
        <v>98</v>
      </c>
    </row>
    <row r="46" customFormat="false" ht="15" hidden="false" customHeight="false" outlineLevel="0" collapsed="false">
      <c r="A46" s="2" t="s"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3" min="2" style="0" width="13"/>
    <col collapsed="false" customWidth="true" hidden="false" outlineLevel="0" max="4" min="4" style="0" width="11"/>
    <col collapsed="false" customWidth="true" hidden="false" outlineLevel="0" max="5" min="5" style="0" width="58"/>
  </cols>
  <sheetData>
    <row r="1" customFormat="false" ht="17.35" hidden="false" customHeight="false" outlineLevel="0" collapsed="false">
      <c r="A1" s="1" t="s">
        <v>100</v>
      </c>
    </row>
    <row r="2" customFormat="false" ht="15" hidden="false" customHeight="false" outlineLevel="0" collapsed="false">
      <c r="A2" s="2" t="s">
        <v>101</v>
      </c>
    </row>
    <row r="4" customFormat="false" ht="15" hidden="false" customHeight="false" outlineLevel="0" collapsed="false">
      <c r="A4" s="17" t="s">
        <v>102</v>
      </c>
      <c r="B4" s="18" t="s">
        <v>103</v>
      </c>
      <c r="C4" s="18" t="s">
        <v>104</v>
      </c>
      <c r="D4" s="18" t="s">
        <v>105</v>
      </c>
      <c r="E4" s="18" t="s">
        <v>106</v>
      </c>
    </row>
    <row r="5" customFormat="false" ht="15" hidden="false" customHeight="false" outlineLevel="0" collapsed="false">
      <c r="A5" s="3" t="s">
        <v>107</v>
      </c>
      <c r="B5" s="19" t="n">
        <v>380</v>
      </c>
      <c r="C5" s="19" t="n">
        <v>290</v>
      </c>
      <c r="D5" s="20" t="n">
        <v>15</v>
      </c>
      <c r="E5" s="2" t="s">
        <v>108</v>
      </c>
    </row>
    <row r="6" customFormat="false" ht="15" hidden="false" customHeight="false" outlineLevel="0" collapsed="false">
      <c r="A6" s="3" t="s">
        <v>109</v>
      </c>
      <c r="B6" s="19" t="n">
        <v>130</v>
      </c>
      <c r="C6" s="19" t="n">
        <v>68</v>
      </c>
      <c r="D6" s="20" t="n">
        <v>13.2</v>
      </c>
      <c r="E6" s="2" t="s">
        <v>110</v>
      </c>
    </row>
    <row r="7" customFormat="false" ht="15" hidden="false" customHeight="false" outlineLevel="0" collapsed="false">
      <c r="A7" s="3" t="s">
        <v>111</v>
      </c>
      <c r="B7" s="19" t="n">
        <v>220</v>
      </c>
      <c r="C7" s="19" t="n">
        <v>110</v>
      </c>
      <c r="D7" s="20" t="n">
        <v>16.1</v>
      </c>
      <c r="E7" s="2" t="s">
        <v>112</v>
      </c>
    </row>
    <row r="8" customFormat="false" ht="15" hidden="false" customHeight="false" outlineLevel="0" collapsed="false">
      <c r="A8" s="3" t="s">
        <v>113</v>
      </c>
      <c r="B8" s="19" t="n">
        <v>115</v>
      </c>
      <c r="C8" s="19" t="n">
        <v>58</v>
      </c>
      <c r="D8" s="20" t="n">
        <v>9.5</v>
      </c>
      <c r="E8" s="2" t="s">
        <v>114</v>
      </c>
    </row>
    <row r="9" customFormat="false" ht="15" hidden="false" customHeight="false" outlineLevel="0" collapsed="false">
      <c r="A9" s="3" t="s">
        <v>115</v>
      </c>
      <c r="B9" s="19" t="n">
        <v>0</v>
      </c>
      <c r="C9" s="19" t="n">
        <v>0</v>
      </c>
      <c r="D9" s="20" t="n">
        <v>6.7</v>
      </c>
      <c r="E9" s="2" t="s">
        <v>116</v>
      </c>
    </row>
    <row r="10" customFormat="false" ht="15" hidden="false" customHeight="false" outlineLevel="0" collapsed="false">
      <c r="A10" s="3" t="s">
        <v>117</v>
      </c>
      <c r="B10" s="19" t="n">
        <v>82</v>
      </c>
      <c r="C10" s="19" t="n">
        <v>74</v>
      </c>
      <c r="D10" s="20" t="n">
        <v>0.1</v>
      </c>
      <c r="E10" s="2" t="s">
        <v>118</v>
      </c>
    </row>
    <row r="11" customFormat="false" ht="15" hidden="false" customHeight="false" outlineLevel="0" collapsed="false">
      <c r="A11" s="3" t="s">
        <v>119</v>
      </c>
      <c r="B11" s="19" t="n">
        <v>115</v>
      </c>
      <c r="C11" s="19" t="n">
        <v>100</v>
      </c>
      <c r="D11" s="20" t="n">
        <v>0.1</v>
      </c>
      <c r="E11" s="2" t="s">
        <v>120</v>
      </c>
    </row>
    <row r="12" customFormat="false" ht="15" hidden="false" customHeight="false" outlineLevel="0" collapsed="false">
      <c r="A12" s="3" t="s">
        <v>121</v>
      </c>
      <c r="B12" s="19" t="n">
        <v>32</v>
      </c>
      <c r="C12" s="19" t="n">
        <v>24</v>
      </c>
      <c r="D12" s="20" t="n">
        <v>0.1</v>
      </c>
      <c r="E12" s="2"/>
    </row>
    <row r="13" customFormat="false" ht="15" hidden="false" customHeight="false" outlineLevel="0" collapsed="false">
      <c r="A13" s="3" t="s">
        <v>122</v>
      </c>
      <c r="B13" s="19" t="n">
        <v>72</v>
      </c>
      <c r="C13" s="19" t="n">
        <v>56</v>
      </c>
      <c r="D13" s="20" t="n">
        <v>0.2</v>
      </c>
      <c r="E13" s="2" t="s">
        <v>123</v>
      </c>
    </row>
    <row r="14" customFormat="false" ht="15" hidden="false" customHeight="false" outlineLevel="0" collapsed="false">
      <c r="A14" s="3" t="s">
        <v>124</v>
      </c>
      <c r="B14" s="19" t="n">
        <v>26</v>
      </c>
      <c r="C14" s="19" t="n">
        <v>15</v>
      </c>
      <c r="D14" s="20" t="n">
        <v>0.2</v>
      </c>
      <c r="E14" s="2" t="s">
        <v>125</v>
      </c>
    </row>
    <row r="15" customFormat="false" ht="15" hidden="false" customHeight="false" outlineLevel="0" collapsed="false">
      <c r="A15" s="3" t="s">
        <v>126</v>
      </c>
      <c r="B15" s="19" t="n">
        <v>58</v>
      </c>
      <c r="C15" s="19" t="n">
        <v>36</v>
      </c>
      <c r="D15" s="20" t="n">
        <v>1.4</v>
      </c>
      <c r="E15" s="2" t="s">
        <v>127</v>
      </c>
    </row>
    <row r="16" customFormat="false" ht="15" hidden="false" customHeight="false" outlineLevel="0" collapsed="false">
      <c r="A16" s="3" t="s">
        <v>128</v>
      </c>
      <c r="B16" s="19" t="n">
        <v>58</v>
      </c>
      <c r="C16" s="19" t="n">
        <v>36</v>
      </c>
      <c r="D16" s="20" t="n">
        <v>1.5</v>
      </c>
      <c r="E16" s="2" t="s">
        <v>129</v>
      </c>
    </row>
    <row r="17" customFormat="false" ht="15" hidden="false" customHeight="false" outlineLevel="0" collapsed="false">
      <c r="A17" s="3" t="s">
        <v>130</v>
      </c>
      <c r="B17" s="19" t="n">
        <v>20</v>
      </c>
      <c r="C17" s="19" t="n">
        <v>11</v>
      </c>
      <c r="D17" s="20" t="n">
        <v>0.5</v>
      </c>
      <c r="E17" s="2" t="s">
        <v>131</v>
      </c>
    </row>
    <row r="18" customFormat="false" ht="15" hidden="false" customHeight="false" outlineLevel="0" collapsed="false">
      <c r="A18" s="3" t="s">
        <v>132</v>
      </c>
      <c r="B18" s="19" t="n">
        <v>36</v>
      </c>
      <c r="C18" s="19" t="n">
        <v>22</v>
      </c>
      <c r="D18" s="20" t="n">
        <v>1.1</v>
      </c>
      <c r="E18" s="2"/>
    </row>
    <row r="19" customFormat="false" ht="15" hidden="false" customHeight="false" outlineLevel="0" collapsed="false">
      <c r="A19" s="3" t="s">
        <v>133</v>
      </c>
      <c r="B19" s="19" t="n">
        <v>38</v>
      </c>
      <c r="C19" s="19" t="n">
        <v>21</v>
      </c>
      <c r="D19" s="20" t="n">
        <v>1.6</v>
      </c>
      <c r="E19" s="2"/>
    </row>
    <row r="20" customFormat="false" ht="15" hidden="false" customHeight="false" outlineLevel="0" collapsed="false">
      <c r="A20" s="3" t="s">
        <v>134</v>
      </c>
      <c r="B20" s="19" t="n">
        <v>58</v>
      </c>
      <c r="C20" s="19" t="n">
        <v>40</v>
      </c>
      <c r="D20" s="20" t="n">
        <v>1.7</v>
      </c>
      <c r="E20" s="2" t="s">
        <v>135</v>
      </c>
    </row>
    <row r="21" customFormat="false" ht="15" hidden="false" customHeight="false" outlineLevel="0" collapsed="false">
      <c r="A21" s="9" t="s">
        <v>136</v>
      </c>
      <c r="B21" s="21" t="n">
        <f aca="false">SUM(B5:B20)</f>
        <v>1440</v>
      </c>
      <c r="C21" s="21" t="n">
        <f aca="false">SUM(C5:C20)</f>
        <v>961</v>
      </c>
      <c r="D21" s="22" t="n">
        <f aca="false">SUM(D5:D20)</f>
        <v>69</v>
      </c>
    </row>
    <row r="22" customFormat="false" ht="15" hidden="false" customHeight="false" outlineLevel="0" collapsed="false">
      <c r="A22" s="3" t="s">
        <v>137</v>
      </c>
      <c r="B22" s="19" t="n">
        <v>38</v>
      </c>
      <c r="C22" s="19" t="n">
        <v>38</v>
      </c>
    </row>
    <row r="23" customFormat="false" ht="15" hidden="false" customHeight="false" outlineLevel="0" collapsed="false">
      <c r="A23" s="3" t="s">
        <v>138</v>
      </c>
      <c r="B23" s="12" t="n">
        <v>0.06</v>
      </c>
    </row>
    <row r="24" customFormat="false" ht="15" hidden="false" customHeight="false" outlineLevel="0" collapsed="false">
      <c r="A24" s="9" t="s">
        <v>139</v>
      </c>
      <c r="B24" s="21" t="n">
        <f aca="false">ROUND(B21*(1+$B$23)+B22,0)</f>
        <v>1564</v>
      </c>
      <c r="C24" s="21" t="n">
        <f aca="false">ROUND(C21*(1+$B$23)+C22,0)</f>
        <v>1057</v>
      </c>
    </row>
    <row r="25" customFormat="false" ht="15" hidden="false" customHeight="false" outlineLevel="0" collapsed="false">
      <c r="A25" s="3" t="s">
        <v>140</v>
      </c>
      <c r="B25" s="19" t="n">
        <v>190</v>
      </c>
      <c r="C25" s="19" t="n">
        <v>130</v>
      </c>
    </row>
    <row r="27" customFormat="false" ht="15" hidden="false" customHeight="false" outlineLevel="0" collapsed="false">
      <c r="A27" s="9" t="s">
        <v>141</v>
      </c>
      <c r="D27" s="23" t="n">
        <f aca="false">D21</f>
        <v>69</v>
      </c>
    </row>
    <row r="28" customFormat="false" ht="15" hidden="false" customHeight="false" outlineLevel="0" collapsed="false">
      <c r="A28" s="3" t="s">
        <v>142</v>
      </c>
      <c r="D28" s="24" t="n">
        <v>31.5</v>
      </c>
      <c r="E28" s="2" t="s">
        <v>143</v>
      </c>
    </row>
    <row r="29" customFormat="false" ht="15" hidden="false" customHeight="false" outlineLevel="0" collapsed="false">
      <c r="A29" s="9" t="s">
        <v>144</v>
      </c>
      <c r="D29" s="25" t="n">
        <f aca="false">ROUNDUP((D21+7)/D28,0)</f>
        <v>3</v>
      </c>
      <c r="E29" s="2" t="s">
        <v>145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3" min="2" style="0" width="13"/>
    <col collapsed="false" customWidth="true" hidden="false" outlineLevel="0" max="4" min="4" style="0" width="56"/>
  </cols>
  <sheetData>
    <row r="1" customFormat="false" ht="17.35" hidden="false" customHeight="false" outlineLevel="0" collapsed="false">
      <c r="A1" s="1" t="s">
        <v>146</v>
      </c>
    </row>
    <row r="2" customFormat="false" ht="15" hidden="false" customHeight="false" outlineLevel="0" collapsed="false">
      <c r="A2" s="2" t="s">
        <v>147</v>
      </c>
    </row>
    <row r="4" customFormat="false" ht="15" hidden="false" customHeight="false" outlineLevel="0" collapsed="false">
      <c r="A4" s="17" t="s">
        <v>102</v>
      </c>
      <c r="B4" s="18" t="s">
        <v>103</v>
      </c>
      <c r="C4" s="18" t="s">
        <v>104</v>
      </c>
      <c r="D4" s="18" t="s">
        <v>106</v>
      </c>
    </row>
    <row r="5" customFormat="false" ht="15" hidden="false" customHeight="false" outlineLevel="0" collapsed="false">
      <c r="A5" s="3" t="s">
        <v>117</v>
      </c>
      <c r="B5" s="19" t="n">
        <v>82</v>
      </c>
      <c r="C5" s="19" t="n">
        <v>74</v>
      </c>
      <c r="D5" s="2"/>
    </row>
    <row r="6" customFormat="false" ht="15" hidden="false" customHeight="false" outlineLevel="0" collapsed="false">
      <c r="A6" s="3" t="s">
        <v>119</v>
      </c>
      <c r="B6" s="19" t="n">
        <v>115</v>
      </c>
      <c r="C6" s="19" t="n">
        <v>100</v>
      </c>
      <c r="D6" s="2"/>
    </row>
    <row r="7" customFormat="false" ht="15" hidden="false" customHeight="false" outlineLevel="0" collapsed="false">
      <c r="A7" s="3" t="s">
        <v>121</v>
      </c>
      <c r="B7" s="19" t="n">
        <v>32</v>
      </c>
      <c r="C7" s="19" t="n">
        <v>24</v>
      </c>
      <c r="D7" s="2"/>
    </row>
    <row r="8" customFormat="false" ht="15" hidden="false" customHeight="false" outlineLevel="0" collapsed="false">
      <c r="A8" s="3" t="s">
        <v>122</v>
      </c>
      <c r="B8" s="19" t="n">
        <v>72</v>
      </c>
      <c r="C8" s="19" t="n">
        <v>56</v>
      </c>
      <c r="D8" s="2" t="s">
        <v>148</v>
      </c>
    </row>
    <row r="9" customFormat="false" ht="15" hidden="false" customHeight="false" outlineLevel="0" collapsed="false">
      <c r="A9" s="3" t="s">
        <v>149</v>
      </c>
      <c r="B9" s="19" t="n">
        <v>45</v>
      </c>
      <c r="C9" s="19" t="n">
        <v>26</v>
      </c>
      <c r="D9" s="2" t="s">
        <v>150</v>
      </c>
    </row>
    <row r="10" customFormat="false" ht="15" hidden="false" customHeight="false" outlineLevel="0" collapsed="false">
      <c r="A10" s="3" t="s">
        <v>151</v>
      </c>
      <c r="B10" s="19" t="n">
        <v>26</v>
      </c>
      <c r="C10" s="19" t="n">
        <v>15</v>
      </c>
      <c r="D10" s="2"/>
    </row>
    <row r="11" customFormat="false" ht="15" hidden="false" customHeight="false" outlineLevel="0" collapsed="false">
      <c r="A11" s="3" t="s">
        <v>152</v>
      </c>
      <c r="B11" s="19" t="n">
        <v>48</v>
      </c>
      <c r="C11" s="19" t="n">
        <v>30</v>
      </c>
      <c r="D11" s="2"/>
    </row>
    <row r="12" customFormat="false" ht="15" hidden="false" customHeight="false" outlineLevel="0" collapsed="false">
      <c r="A12" s="3" t="s">
        <v>153</v>
      </c>
      <c r="B12" s="19" t="n">
        <v>38</v>
      </c>
      <c r="C12" s="19" t="n">
        <v>22</v>
      </c>
      <c r="D12" s="2"/>
    </row>
    <row r="13" customFormat="false" ht="15" hidden="false" customHeight="false" outlineLevel="0" collapsed="false">
      <c r="A13" s="3" t="s">
        <v>154</v>
      </c>
      <c r="B13" s="19" t="n">
        <v>18</v>
      </c>
      <c r="C13" s="19" t="n">
        <v>12</v>
      </c>
      <c r="D13" s="2" t="s">
        <v>155</v>
      </c>
    </row>
    <row r="14" customFormat="false" ht="15" hidden="false" customHeight="false" outlineLevel="0" collapsed="false">
      <c r="A14" s="3" t="s">
        <v>156</v>
      </c>
      <c r="B14" s="19" t="n">
        <v>16</v>
      </c>
      <c r="C14" s="19" t="n">
        <v>10</v>
      </c>
      <c r="D14" s="2"/>
    </row>
    <row r="15" customFormat="false" ht="15" hidden="false" customHeight="false" outlineLevel="0" collapsed="false">
      <c r="A15" s="9" t="s">
        <v>157</v>
      </c>
      <c r="B15" s="21" t="n">
        <f aca="false">SUM(B5:B14)</f>
        <v>492</v>
      </c>
      <c r="C15" s="21" t="n">
        <f aca="false">SUM(C5:C14)</f>
        <v>369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6"/>
    <col collapsed="false" customWidth="true" hidden="false" outlineLevel="0" max="5" min="5" style="0" width="58"/>
  </cols>
  <sheetData>
    <row r="1" customFormat="false" ht="17.35" hidden="false" customHeight="false" outlineLevel="0" collapsed="false">
      <c r="A1" s="1" t="s">
        <v>158</v>
      </c>
    </row>
    <row r="2" customFormat="false" ht="15" hidden="false" customHeight="false" outlineLevel="0" collapsed="false">
      <c r="A2" s="2" t="s">
        <v>159</v>
      </c>
    </row>
    <row r="4" customFormat="false" ht="15" hidden="false" customHeight="false" outlineLevel="0" collapsed="false">
      <c r="A4" s="17" t="s">
        <v>160</v>
      </c>
      <c r="B4" s="18" t="s">
        <v>161</v>
      </c>
      <c r="C4" s="18" t="s">
        <v>162</v>
      </c>
      <c r="D4" s="18" t="s">
        <v>163</v>
      </c>
      <c r="E4" s="18" t="s">
        <v>106</v>
      </c>
    </row>
    <row r="5" customFormat="false" ht="21.75" hidden="false" customHeight="true" outlineLevel="0" collapsed="false">
      <c r="A5" s="3" t="s">
        <v>164</v>
      </c>
      <c r="B5" s="26" t="n">
        <f aca="false">Supuestos!$B$27</f>
        <v>2899</v>
      </c>
      <c r="C5" s="26" t="n">
        <f aca="false">Supuestos!$B$27+Supuestos!$B$28</f>
        <v>3299</v>
      </c>
      <c r="D5" s="26" t="n">
        <f aca="false">Supuestos!$B$20</f>
        <v>799</v>
      </c>
      <c r="E5" s="13"/>
    </row>
    <row r="6" customFormat="false" ht="21.75" hidden="false" customHeight="true" outlineLevel="0" collapsed="false">
      <c r="A6" s="3" t="s">
        <v>165</v>
      </c>
      <c r="B6" s="27" t="n">
        <f aca="false">-B5*Supuestos!$B$5/(1+Supuestos!$B$5)</f>
        <v>-503.132231404959</v>
      </c>
      <c r="C6" s="27" t="n">
        <f aca="false">-C5*Supuestos!$B$5/(1+Supuestos!$B$5)</f>
        <v>-572.553719008265</v>
      </c>
      <c r="D6" s="27" t="n">
        <f aca="false">-D5*Supuestos!$B$5/(1+Supuestos!$B$5)</f>
        <v>-138.669421487603</v>
      </c>
      <c r="E6" s="13"/>
    </row>
    <row r="7" customFormat="false" ht="21.75" hidden="false" customHeight="true" outlineLevel="0" collapsed="false">
      <c r="A7" s="9" t="s">
        <v>166</v>
      </c>
      <c r="B7" s="28" t="n">
        <f aca="false">B5+B6</f>
        <v>2395.86776859504</v>
      </c>
      <c r="C7" s="28" t="n">
        <f aca="false">C5+C6</f>
        <v>2726.44628099174</v>
      </c>
      <c r="D7" s="28" t="n">
        <f aca="false">D5+D6</f>
        <v>660.330578512397</v>
      </c>
      <c r="E7" s="13"/>
    </row>
    <row r="8" customFormat="false" ht="21.75" hidden="false" customHeight="true" outlineLevel="0" collapsed="false">
      <c r="A8" s="3" t="s">
        <v>167</v>
      </c>
      <c r="B8" s="26" t="n">
        <f aca="false">-'BOM mesa'!$C$24</f>
        <v>-1057</v>
      </c>
      <c r="C8" s="26" t="n">
        <f aca="false">-('BOM mesa'!$C$24+'BOM mesa'!$C$25)</f>
        <v>-1187</v>
      </c>
      <c r="D8" s="26" t="n">
        <f aca="false">-'BOM kit'!$C$15</f>
        <v>-369</v>
      </c>
      <c r="E8" s="13"/>
    </row>
    <row r="9" customFormat="false" ht="21.75" hidden="false" customHeight="true" outlineLevel="0" collapsed="false">
      <c r="A9" s="3" t="s">
        <v>168</v>
      </c>
      <c r="B9" s="27" t="n">
        <f aca="false">-B5*Supuestos!$B$30</f>
        <v>-260.91</v>
      </c>
      <c r="C9" s="27" t="n">
        <f aca="false">-C5*Supuestos!$B$30</f>
        <v>-296.91</v>
      </c>
      <c r="D9" s="27" t="n">
        <f aca="false">-D5*Supuestos!$B$25</f>
        <v>-27.965</v>
      </c>
      <c r="E9" s="13" t="s">
        <v>169</v>
      </c>
    </row>
    <row r="10" customFormat="false" ht="21.75" hidden="false" customHeight="true" outlineLevel="0" collapsed="false">
      <c r="A10" s="3" t="s">
        <v>76</v>
      </c>
      <c r="B10" s="27" t="n">
        <f aca="false">-B5*Supuestos!$B$31</f>
        <v>-115.96</v>
      </c>
      <c r="C10" s="27" t="n">
        <f aca="false">-C5*Supuestos!$B$31</f>
        <v>-131.96</v>
      </c>
      <c r="D10" s="27" t="n">
        <v>0</v>
      </c>
      <c r="E10" s="13"/>
    </row>
    <row r="11" customFormat="false" ht="21.75" hidden="false" customHeight="true" outlineLevel="0" collapsed="false">
      <c r="A11" s="3" t="s">
        <v>170</v>
      </c>
      <c r="B11" s="27" t="n">
        <f aca="false">-B7*Supuestos!$B$32</f>
        <v>-359.380165289256</v>
      </c>
      <c r="C11" s="27" t="n">
        <f aca="false">-C7*Supuestos!$B$32</f>
        <v>-408.96694214876</v>
      </c>
      <c r="D11" s="27" t="n">
        <f aca="false">-D7*Supuestos!$B$32*0.5</f>
        <v>-49.5247933884298</v>
      </c>
      <c r="E11" s="13" t="s">
        <v>171</v>
      </c>
    </row>
    <row r="12" customFormat="false" ht="21.75" hidden="false" customHeight="true" outlineLevel="0" collapsed="false">
      <c r="A12" s="3" t="s">
        <v>172</v>
      </c>
      <c r="B12" s="27" t="n">
        <f aca="false">Supuestos!$B$33-Supuestos!$B$34</f>
        <v>-10</v>
      </c>
      <c r="C12" s="27" t="n">
        <f aca="false">Supuestos!$B$33-Supuestos!$B$34</f>
        <v>-10</v>
      </c>
      <c r="D12" s="27" t="n">
        <v>0</v>
      </c>
      <c r="E12" s="13"/>
    </row>
    <row r="13" customFormat="false" ht="21.75" hidden="false" customHeight="true" outlineLevel="0" collapsed="false">
      <c r="A13" s="3" t="s">
        <v>173</v>
      </c>
      <c r="B13" s="27" t="n">
        <v>0</v>
      </c>
      <c r="C13" s="27" t="n">
        <v>0</v>
      </c>
      <c r="D13" s="27" t="n">
        <f aca="false">-Supuestos!$B$24*D8*-1</f>
        <v>-22.14</v>
      </c>
      <c r="E13" s="13" t="s">
        <v>174</v>
      </c>
    </row>
    <row r="14" customFormat="false" ht="21.75" hidden="false" customHeight="true" outlineLevel="0" collapsed="false">
      <c r="A14" s="9" t="s">
        <v>175</v>
      </c>
      <c r="B14" s="28" t="n">
        <f aca="false">SUM(B7:B13)</f>
        <v>592.617603305785</v>
      </c>
      <c r="C14" s="28" t="n">
        <f aca="false">SUM(C7:C13)</f>
        <v>691.609338842975</v>
      </c>
      <c r="D14" s="28" t="n">
        <f aca="false">SUM(D7:D13)</f>
        <v>191.700785123967</v>
      </c>
      <c r="E14" s="13"/>
    </row>
    <row r="15" customFormat="false" ht="21.75" hidden="false" customHeight="true" outlineLevel="0" collapsed="false">
      <c r="A15" s="9" t="s">
        <v>176</v>
      </c>
      <c r="B15" s="29" t="n">
        <f aca="false">IFERROR(B14/B7,0)</f>
        <v>0.247349879268713</v>
      </c>
      <c r="C15" s="29" t="n">
        <f aca="false">IFERROR(C14/C7,0)</f>
        <v>0.253666959684753</v>
      </c>
      <c r="D15" s="29" t="n">
        <f aca="false">IFERROR(D14/D7,0)</f>
        <v>0.290310325406758</v>
      </c>
      <c r="E15" s="13"/>
    </row>
    <row r="17" customFormat="false" ht="15" hidden="false" customHeight="false" outlineLevel="0" collapsed="false">
      <c r="A17" s="9" t="s">
        <v>177</v>
      </c>
    </row>
    <row r="18" customFormat="false" ht="15" hidden="false" customHeight="false" outlineLevel="0" collapsed="false">
      <c r="A18" s="17" t="s">
        <v>160</v>
      </c>
      <c r="B18" s="18" t="s">
        <v>178</v>
      </c>
      <c r="C18" s="18"/>
      <c r="D18" s="18"/>
      <c r="E18" s="18" t="s">
        <v>106</v>
      </c>
    </row>
    <row r="19" customFormat="false" ht="15" hidden="false" customHeight="false" outlineLevel="0" collapsed="false">
      <c r="A19" s="3" t="s">
        <v>179</v>
      </c>
      <c r="B19" s="26" t="n">
        <f aca="false">Supuestos!$B$10</f>
        <v>49</v>
      </c>
      <c r="E19" s="2"/>
    </row>
    <row r="20" customFormat="false" ht="15" hidden="false" customHeight="false" outlineLevel="0" collapsed="false">
      <c r="A20" s="3" t="s">
        <v>45</v>
      </c>
      <c r="B20" s="27" t="n">
        <f aca="false">-B19*Supuestos!$B$11</f>
        <v>-5.88</v>
      </c>
      <c r="E20" s="2"/>
    </row>
    <row r="21" customFormat="false" ht="15" hidden="false" customHeight="false" outlineLevel="0" collapsed="false">
      <c r="A21" s="3" t="s">
        <v>180</v>
      </c>
      <c r="B21" s="27" t="n">
        <v>0</v>
      </c>
      <c r="E21" s="2" t="s">
        <v>181</v>
      </c>
    </row>
    <row r="22" customFormat="false" ht="15" hidden="false" customHeight="false" outlineLevel="0" collapsed="false">
      <c r="A22" s="9" t="s">
        <v>182</v>
      </c>
      <c r="B22" s="28" t="n">
        <f aca="false">SUM(B19:B21)</f>
        <v>43.12</v>
      </c>
      <c r="E22" s="2"/>
    </row>
    <row r="23" customFormat="false" ht="15" hidden="false" customHeight="false" outlineLevel="0" collapsed="false">
      <c r="A23" s="9" t="s">
        <v>183</v>
      </c>
      <c r="B23" s="29" t="n">
        <f aca="false">IFERROR(B22/B19,0)</f>
        <v>0.88</v>
      </c>
      <c r="E23" s="2"/>
    </row>
    <row r="26" customFormat="false" ht="15" hidden="false" customHeight="false" outlineLevel="0" collapsed="false">
      <c r="A26" s="9" t="s">
        <v>184</v>
      </c>
    </row>
    <row r="27" customFormat="false" ht="23.85" hidden="false" customHeight="false" outlineLevel="0" collapsed="false">
      <c r="A27" s="17" t="s">
        <v>185</v>
      </c>
      <c r="B27" s="18" t="s">
        <v>186</v>
      </c>
      <c r="C27" s="18" t="s">
        <v>187</v>
      </c>
      <c r="D27" s="18"/>
      <c r="E27" s="18"/>
    </row>
    <row r="28" customFormat="false" ht="15" hidden="false" customHeight="false" outlineLevel="0" collapsed="false">
      <c r="A28" s="3" t="s">
        <v>188</v>
      </c>
      <c r="B28" s="30" t="n">
        <f aca="false">IFERROR(ROUNDUP(100000/B14,0),0)</f>
        <v>169</v>
      </c>
      <c r="C28" s="27" t="n">
        <f aca="false">B28*B5</f>
        <v>489931</v>
      </c>
    </row>
    <row r="29" customFormat="false" ht="15" hidden="false" customHeight="false" outlineLevel="0" collapsed="false">
      <c r="A29" s="3" t="s">
        <v>189</v>
      </c>
      <c r="B29" s="30" t="n">
        <f aca="false">IFERROR(ROUNDUP(100000/D14,0),0)</f>
        <v>522</v>
      </c>
      <c r="C29" s="27" t="n">
        <f aca="false">B29*D5</f>
        <v>417078</v>
      </c>
    </row>
    <row r="30" customFormat="false" ht="15" hidden="false" customHeight="false" outlineLevel="0" collapsed="false">
      <c r="A30" s="3" t="s">
        <v>190</v>
      </c>
      <c r="B30" s="30" t="n">
        <f aca="false">IFERROR(ROUNDUP(100000/B22,0),0)</f>
        <v>2320</v>
      </c>
      <c r="C30" s="27" t="n">
        <f aca="false">B30*B19</f>
        <v>113680</v>
      </c>
    </row>
    <row r="32" customFormat="false" ht="15" hidden="false" customHeight="false" outlineLevel="0" collapsed="false">
      <c r="A32" s="2" t="s">
        <v>191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7"/>
    <col collapsed="false" customWidth="true" hidden="false" outlineLevel="0" max="5" min="5" style="0" width="50"/>
  </cols>
  <sheetData>
    <row r="1" customFormat="false" ht="17.35" hidden="false" customHeight="false" outlineLevel="0" collapsed="false">
      <c r="A1" s="1" t="s">
        <v>192</v>
      </c>
    </row>
    <row r="2" customFormat="false" ht="15" hidden="false" customHeight="false" outlineLevel="0" collapsed="false">
      <c r="A2" s="2" t="s">
        <v>193</v>
      </c>
    </row>
    <row r="4" customFormat="false" ht="15" hidden="false" customHeight="false" outlineLevel="0" collapsed="false">
      <c r="A4" s="17" t="s">
        <v>160</v>
      </c>
      <c r="B4" s="18" t="s">
        <v>194</v>
      </c>
      <c r="C4" s="18" t="s">
        <v>195</v>
      </c>
      <c r="D4" s="18" t="s">
        <v>196</v>
      </c>
      <c r="E4" s="18" t="s">
        <v>106</v>
      </c>
    </row>
    <row r="5" customFormat="false" ht="21.75" hidden="false" customHeight="true" outlineLevel="0" collapsed="false">
      <c r="A5" s="3" t="s">
        <v>197</v>
      </c>
      <c r="B5" s="14" t="n">
        <v>60</v>
      </c>
      <c r="C5" s="31" t="n">
        <f aca="false">Supuestos!$B$35</f>
        <v>150</v>
      </c>
      <c r="D5" s="14" t="n">
        <v>320</v>
      </c>
      <c r="E5" s="13" t="s">
        <v>198</v>
      </c>
    </row>
    <row r="6" customFormat="false" ht="21.75" hidden="false" customHeight="true" outlineLevel="0" collapsed="false">
      <c r="A6" s="3" t="s">
        <v>199</v>
      </c>
      <c r="B6" s="32" t="n">
        <f aca="false">Supuestos!$B$29</f>
        <v>0.3</v>
      </c>
      <c r="C6" s="32" t="n">
        <f aca="false">Supuestos!$B$29</f>
        <v>0.3</v>
      </c>
      <c r="D6" s="32" t="n">
        <f aca="false">Supuestos!$B$29</f>
        <v>0.3</v>
      </c>
      <c r="E6" s="13"/>
    </row>
    <row r="7" customFormat="false" ht="21.75" hidden="false" customHeight="true" outlineLevel="0" collapsed="false">
      <c r="A7" s="3" t="s">
        <v>200</v>
      </c>
      <c r="B7" s="14" t="n">
        <v>40</v>
      </c>
      <c r="C7" s="14" t="n">
        <v>120</v>
      </c>
      <c r="D7" s="14" t="n">
        <v>400</v>
      </c>
      <c r="E7" s="13"/>
    </row>
    <row r="8" customFormat="false" ht="21.75" hidden="false" customHeight="true" outlineLevel="0" collapsed="false">
      <c r="A8" s="3" t="s">
        <v>201</v>
      </c>
      <c r="B8" s="14" t="n">
        <v>150</v>
      </c>
      <c r="C8" s="14" t="n">
        <v>500</v>
      </c>
      <c r="D8" s="14" t="n">
        <v>1500</v>
      </c>
      <c r="E8" s="13"/>
    </row>
    <row r="10" customFormat="false" ht="15" hidden="false" customHeight="false" outlineLevel="0" collapsed="false">
      <c r="A10" s="9" t="s">
        <v>202</v>
      </c>
    </row>
    <row r="11" customFormat="false" ht="21.75" hidden="false" customHeight="true" outlineLevel="0" collapsed="false">
      <c r="A11" s="3" t="s">
        <v>188</v>
      </c>
      <c r="B11" s="27" t="n">
        <f aca="false">B5*(1-B6)*'Economia unitaria'!$B$5</f>
        <v>121758</v>
      </c>
      <c r="C11" s="27" t="n">
        <f aca="false">C5*(1-C6)*'Economia unitaria'!$B$5</f>
        <v>304395</v>
      </c>
      <c r="D11" s="27" t="n">
        <f aca="false">D5*(1-D6)*'Economia unitaria'!$B$5</f>
        <v>649376</v>
      </c>
      <c r="E11" s="13"/>
    </row>
    <row r="12" customFormat="false" ht="21.75" hidden="false" customHeight="true" outlineLevel="0" collapsed="false">
      <c r="A12" s="3" t="s">
        <v>203</v>
      </c>
      <c r="B12" s="27" t="n">
        <f aca="false">B5*B6*'Economia unitaria'!$C$5</f>
        <v>59382</v>
      </c>
      <c r="C12" s="27" t="n">
        <f aca="false">C5*C6*'Economia unitaria'!$C$5</f>
        <v>148455</v>
      </c>
      <c r="D12" s="27" t="n">
        <f aca="false">D5*D6*'Economia unitaria'!$C$5</f>
        <v>316704</v>
      </c>
      <c r="E12" s="13"/>
    </row>
    <row r="13" customFormat="false" ht="21.75" hidden="false" customHeight="true" outlineLevel="0" collapsed="false">
      <c r="A13" s="3" t="s">
        <v>204</v>
      </c>
      <c r="B13" s="27" t="n">
        <f aca="false">B7*'Economia unitaria'!$D$5</f>
        <v>31960</v>
      </c>
      <c r="C13" s="27" t="n">
        <f aca="false">C7*'Economia unitaria'!$D$5</f>
        <v>95880</v>
      </c>
      <c r="D13" s="27" t="n">
        <f aca="false">D7*'Economia unitaria'!$D$5</f>
        <v>319600</v>
      </c>
      <c r="E13" s="13"/>
    </row>
    <row r="14" customFormat="false" ht="21.75" hidden="false" customHeight="true" outlineLevel="0" collapsed="false">
      <c r="A14" s="3" t="s">
        <v>205</v>
      </c>
      <c r="B14" s="27" t="n">
        <f aca="false">B8*'Economia unitaria'!$B$19</f>
        <v>7350</v>
      </c>
      <c r="C14" s="27" t="n">
        <f aca="false">C8*'Economia unitaria'!$B$19</f>
        <v>24500</v>
      </c>
      <c r="D14" s="27" t="n">
        <f aca="false">D8*'Economia unitaria'!$B$19</f>
        <v>73500</v>
      </c>
      <c r="E14" s="13"/>
    </row>
    <row r="15" customFormat="false" ht="21.75" hidden="false" customHeight="true" outlineLevel="0" collapsed="false">
      <c r="A15" s="9" t="s">
        <v>206</v>
      </c>
      <c r="B15" s="28" t="n">
        <f aca="false">SUM(B11:B14)</f>
        <v>220450</v>
      </c>
      <c r="C15" s="28" t="n">
        <f aca="false">SUM(C11:C14)</f>
        <v>573230</v>
      </c>
      <c r="D15" s="28" t="n">
        <f aca="false">SUM(D11:D14)</f>
        <v>1359180</v>
      </c>
      <c r="E15" s="13"/>
    </row>
    <row r="17" customFormat="false" ht="15" hidden="false" customHeight="false" outlineLevel="0" collapsed="false">
      <c r="A17" s="9" t="s">
        <v>207</v>
      </c>
    </row>
    <row r="18" customFormat="false" ht="21.75" hidden="false" customHeight="true" outlineLevel="0" collapsed="false">
      <c r="A18" s="3" t="s">
        <v>188</v>
      </c>
      <c r="B18" s="27" t="n">
        <f aca="false">B5*(1-B6)*'Economia unitaria'!$B$14</f>
        <v>24889.939338843</v>
      </c>
      <c r="C18" s="27" t="n">
        <f aca="false">C5*(1-C6)*'Economia unitaria'!$B$14</f>
        <v>62224.8483471075</v>
      </c>
      <c r="D18" s="27" t="n">
        <f aca="false">D5*(1-D6)*'Economia unitaria'!$B$14</f>
        <v>132746.343140496</v>
      </c>
      <c r="E18" s="13"/>
    </row>
    <row r="19" customFormat="false" ht="21.75" hidden="false" customHeight="true" outlineLevel="0" collapsed="false">
      <c r="A19" s="3" t="s">
        <v>203</v>
      </c>
      <c r="B19" s="27" t="n">
        <f aca="false">B5*B6*'Economia unitaria'!$C$14</f>
        <v>12448.9680991736</v>
      </c>
      <c r="C19" s="27" t="n">
        <f aca="false">C5*C6*'Economia unitaria'!$C$14</f>
        <v>31122.4202479339</v>
      </c>
      <c r="D19" s="27" t="n">
        <f aca="false">D5*D6*'Economia unitaria'!$C$14</f>
        <v>66394.4965289256</v>
      </c>
      <c r="E19" s="13"/>
    </row>
    <row r="20" customFormat="false" ht="21.75" hidden="false" customHeight="true" outlineLevel="0" collapsed="false">
      <c r="A20" s="3" t="s">
        <v>204</v>
      </c>
      <c r="B20" s="27" t="n">
        <f aca="false">B7*'Economia unitaria'!$D$14</f>
        <v>7668.03140495868</v>
      </c>
      <c r="C20" s="27" t="n">
        <f aca="false">C7*'Economia unitaria'!$D$14</f>
        <v>23004.094214876</v>
      </c>
      <c r="D20" s="27" t="n">
        <f aca="false">D7*'Economia unitaria'!$D$14</f>
        <v>76680.3140495868</v>
      </c>
      <c r="E20" s="13"/>
    </row>
    <row r="21" customFormat="false" ht="21.75" hidden="false" customHeight="true" outlineLevel="0" collapsed="false">
      <c r="A21" s="3" t="s">
        <v>205</v>
      </c>
      <c r="B21" s="27" t="n">
        <f aca="false">B8*'Economia unitaria'!$B$22</f>
        <v>6468</v>
      </c>
      <c r="C21" s="27" t="n">
        <f aca="false">C8*'Economia unitaria'!$B$22</f>
        <v>21560</v>
      </c>
      <c r="D21" s="27" t="n">
        <f aca="false">D8*'Economia unitaria'!$B$22</f>
        <v>64680</v>
      </c>
      <c r="E21" s="13"/>
    </row>
    <row r="22" customFormat="false" ht="21.75" hidden="false" customHeight="true" outlineLevel="0" collapsed="false">
      <c r="A22" s="9" t="s">
        <v>208</v>
      </c>
      <c r="B22" s="28" t="n">
        <f aca="false">SUM(B18:B21)</f>
        <v>51474.9388429752</v>
      </c>
      <c r="C22" s="28" t="n">
        <f aca="false">SUM(C18:C21)</f>
        <v>137911.362809917</v>
      </c>
      <c r="D22" s="28" t="n">
        <f aca="false">SUM(D18:D21)</f>
        <v>340501.153719008</v>
      </c>
      <c r="E22" s="13"/>
    </row>
    <row r="24" customFormat="false" ht="15" hidden="false" customHeight="false" outlineLevel="0" collapsed="false">
      <c r="A24" s="9" t="s">
        <v>209</v>
      </c>
    </row>
    <row r="25" customFormat="false" ht="21.75" hidden="false" customHeight="true" outlineLevel="0" collapsed="false">
      <c r="A25" s="3" t="s">
        <v>210</v>
      </c>
      <c r="B25" s="26" t="n">
        <f aca="false">-Supuestos!$B$39</f>
        <v>-6000</v>
      </c>
      <c r="C25" s="26" t="n">
        <f aca="false">-Supuestos!$B$39</f>
        <v>-6000</v>
      </c>
      <c r="D25" s="26" t="n">
        <f aca="false">-Supuestos!$B$39</f>
        <v>-6000</v>
      </c>
      <c r="E25" s="13"/>
    </row>
    <row r="26" customFormat="false" ht="21.75" hidden="false" customHeight="true" outlineLevel="0" collapsed="false">
      <c r="A26" s="3" t="s">
        <v>211</v>
      </c>
      <c r="B26" s="26" t="n">
        <f aca="false">-Supuestos!$B$40</f>
        <v>-3500</v>
      </c>
      <c r="C26" s="26" t="n">
        <f aca="false">-Supuestos!$B$40</f>
        <v>-3500</v>
      </c>
      <c r="D26" s="26" t="n">
        <f aca="false">-Supuestos!$B$40</f>
        <v>-3500</v>
      </c>
      <c r="E26" s="13"/>
    </row>
    <row r="27" customFormat="false" ht="21.75" hidden="false" customHeight="true" outlineLevel="0" collapsed="false">
      <c r="A27" s="3" t="s">
        <v>212</v>
      </c>
      <c r="B27" s="26" t="n">
        <f aca="false">-Supuestos!$B$41</f>
        <v>-1200</v>
      </c>
      <c r="C27" s="26" t="n">
        <f aca="false">-Supuestos!$B$41</f>
        <v>-1200</v>
      </c>
      <c r="D27" s="26" t="n">
        <f aca="false">-Supuestos!$B$41</f>
        <v>-1200</v>
      </c>
      <c r="E27" s="13"/>
    </row>
    <row r="28" customFormat="false" ht="21.75" hidden="false" customHeight="true" outlineLevel="0" collapsed="false">
      <c r="A28" s="3" t="s">
        <v>93</v>
      </c>
      <c r="B28" s="26" t="n">
        <f aca="false">-Supuestos!$B$42</f>
        <v>-9000</v>
      </c>
      <c r="C28" s="26" t="n">
        <f aca="false">-Supuestos!$B$42</f>
        <v>-9000</v>
      </c>
      <c r="D28" s="26" t="n">
        <f aca="false">-Supuestos!$B$42</f>
        <v>-9000</v>
      </c>
      <c r="E28" s="13"/>
    </row>
    <row r="29" customFormat="false" ht="21.75" hidden="false" customHeight="true" outlineLevel="0" collapsed="false">
      <c r="A29" s="9" t="s">
        <v>213</v>
      </c>
      <c r="B29" s="28" t="n">
        <f aca="false">B22+SUM(B25:B28)</f>
        <v>31774.9388429752</v>
      </c>
      <c r="C29" s="28" t="n">
        <f aca="false">C22+SUM(C25:C28)</f>
        <v>118211.362809917</v>
      </c>
      <c r="D29" s="28" t="n">
        <f aca="false">D22+SUM(D25:D28)</f>
        <v>320801.153719008</v>
      </c>
      <c r="E29" s="13"/>
    </row>
    <row r="31" customFormat="false" ht="15" hidden="false" customHeight="false" outlineLevel="0" collapsed="false">
      <c r="A31" s="9" t="s">
        <v>214</v>
      </c>
    </row>
    <row r="32" customFormat="false" ht="21.75" hidden="false" customHeight="true" outlineLevel="0" collapsed="false">
      <c r="A32" s="9" t="s">
        <v>215</v>
      </c>
      <c r="B32" s="33" t="n">
        <f aca="false">IFERROR(ROUNDUP(-SUM(B25:B28)/'Economia unitaria'!$B$14,0),0)</f>
        <v>34</v>
      </c>
      <c r="C32" s="33" t="n">
        <f aca="false">IFERROR(ROUNDUP(-SUM(C25:C28)/'Economia unitaria'!$B$14,0),0)</f>
        <v>34</v>
      </c>
      <c r="D32" s="33" t="n">
        <f aca="false">IFERROR(ROUNDUP(-SUM(D25:D28)/'Economia unitaria'!$B$14,0),0)</f>
        <v>34</v>
      </c>
      <c r="E32" s="13" t="s">
        <v>216</v>
      </c>
    </row>
    <row r="34" customFormat="false" ht="15" hidden="false" customHeight="false" outlineLevel="0" collapsed="false">
      <c r="A34" s="34" t="s">
        <v>217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11" min="2" style="0" width="12"/>
  </cols>
  <sheetData>
    <row r="1" customFormat="false" ht="17.35" hidden="false" customHeight="false" outlineLevel="0" collapsed="false">
      <c r="A1" s="1" t="s">
        <v>218</v>
      </c>
    </row>
    <row r="2" customFormat="false" ht="15" hidden="false" customHeight="false" outlineLevel="0" collapsed="false">
      <c r="A2" s="2" t="s">
        <v>219</v>
      </c>
    </row>
    <row r="4" customFormat="false" ht="15" hidden="false" customHeight="false" outlineLevel="0" collapsed="false">
      <c r="A4" s="17" t="s">
        <v>160</v>
      </c>
      <c r="B4" s="18" t="s">
        <v>220</v>
      </c>
      <c r="C4" s="18" t="s">
        <v>221</v>
      </c>
      <c r="D4" s="18" t="s">
        <v>222</v>
      </c>
      <c r="E4" s="18" t="s">
        <v>223</v>
      </c>
      <c r="F4" s="18" t="s">
        <v>224</v>
      </c>
      <c r="G4" s="18" t="s">
        <v>225</v>
      </c>
      <c r="H4" s="18" t="s">
        <v>226</v>
      </c>
      <c r="I4" s="18" t="s">
        <v>227</v>
      </c>
      <c r="J4" s="18" t="s">
        <v>228</v>
      </c>
      <c r="K4" s="18" t="s">
        <v>229</v>
      </c>
    </row>
    <row r="5" customFormat="false" ht="15" hidden="false" customHeight="false" outlineLevel="0" collapsed="false">
      <c r="A5" s="3" t="s">
        <v>230</v>
      </c>
      <c r="B5" s="35" t="s">
        <v>231</v>
      </c>
      <c r="C5" s="35" t="s">
        <v>231</v>
      </c>
      <c r="D5" s="35" t="s">
        <v>232</v>
      </c>
      <c r="E5" s="35" t="s">
        <v>232</v>
      </c>
      <c r="F5" s="35" t="s">
        <v>233</v>
      </c>
      <c r="G5" s="35" t="s">
        <v>234</v>
      </c>
      <c r="H5" s="35" t="s">
        <v>235</v>
      </c>
      <c r="I5" s="35" t="s">
        <v>236</v>
      </c>
      <c r="J5" s="35" t="s">
        <v>236</v>
      </c>
      <c r="K5" s="35" t="s">
        <v>236</v>
      </c>
    </row>
    <row r="7" customFormat="false" ht="15" hidden="false" customHeight="false" outlineLevel="0" collapsed="false">
      <c r="A7" s="9" t="s">
        <v>237</v>
      </c>
    </row>
    <row r="8" customFormat="false" ht="15" hidden="false" customHeight="false" outlineLevel="0" collapsed="false">
      <c r="A8" s="3" t="s">
        <v>238</v>
      </c>
      <c r="B8" s="14" t="n">
        <v>0</v>
      </c>
      <c r="C8" s="14" t="n">
        <v>0</v>
      </c>
      <c r="D8" s="14" t="n">
        <v>60</v>
      </c>
      <c r="E8" s="14" t="n">
        <v>120</v>
      </c>
      <c r="F8" s="14" t="n">
        <v>180</v>
      </c>
      <c r="G8" s="14" t="n">
        <v>300</v>
      </c>
      <c r="H8" s="14" t="n">
        <v>420</v>
      </c>
      <c r="I8" s="14" t="n">
        <v>600</v>
      </c>
      <c r="J8" s="14" t="n">
        <v>800</v>
      </c>
      <c r="K8" s="14" t="n">
        <v>900</v>
      </c>
    </row>
    <row r="9" customFormat="false" ht="15" hidden="false" customHeight="false" outlineLevel="0" collapsed="false">
      <c r="A9" s="3" t="s">
        <v>239</v>
      </c>
      <c r="B9" s="14" t="n">
        <v>0</v>
      </c>
      <c r="C9" s="14" t="n">
        <v>0</v>
      </c>
      <c r="D9" s="14" t="n">
        <v>0</v>
      </c>
      <c r="E9" s="14" t="n">
        <v>0</v>
      </c>
      <c r="F9" s="14" t="n">
        <v>8</v>
      </c>
      <c r="G9" s="14" t="n">
        <v>18</v>
      </c>
      <c r="H9" s="14" t="n">
        <v>30</v>
      </c>
      <c r="I9" s="14" t="n">
        <v>45</v>
      </c>
      <c r="J9" s="14" t="n">
        <v>60</v>
      </c>
      <c r="K9" s="14" t="n">
        <v>80</v>
      </c>
    </row>
    <row r="10" customFormat="false" ht="15" hidden="false" customHeight="false" outlineLevel="0" collapsed="false">
      <c r="A10" s="3" t="s">
        <v>240</v>
      </c>
      <c r="B10" s="14" t="n">
        <v>0</v>
      </c>
      <c r="C10" s="14" t="n">
        <v>0</v>
      </c>
      <c r="D10" s="14" t="n">
        <v>0</v>
      </c>
      <c r="E10" s="14" t="n">
        <v>0</v>
      </c>
      <c r="F10" s="14" t="n">
        <v>0</v>
      </c>
      <c r="G10" s="14" t="n">
        <v>0</v>
      </c>
      <c r="H10" s="14" t="n">
        <v>4</v>
      </c>
      <c r="I10" s="14" t="n">
        <v>8</v>
      </c>
      <c r="J10" s="14" t="n">
        <v>150</v>
      </c>
      <c r="K10" s="14" t="n">
        <v>20</v>
      </c>
    </row>
    <row r="11" customFormat="false" ht="15" hidden="false" customHeight="false" outlineLevel="0" collapsed="false">
      <c r="A11" s="3" t="s">
        <v>241</v>
      </c>
      <c r="B11" s="27" t="n">
        <f aca="false">B8*'Economia unitaria'!$B$19</f>
        <v>0</v>
      </c>
      <c r="C11" s="27" t="n">
        <f aca="false">C8*'Economia unitaria'!$B$19</f>
        <v>0</v>
      </c>
      <c r="D11" s="27" t="n">
        <f aca="false">D8*'Economia unitaria'!$B$19</f>
        <v>2940</v>
      </c>
      <c r="E11" s="27" t="n">
        <f aca="false">E8*'Economia unitaria'!$B$19</f>
        <v>5880</v>
      </c>
      <c r="F11" s="27" t="n">
        <f aca="false">F8*'Economia unitaria'!$B$19</f>
        <v>8820</v>
      </c>
      <c r="G11" s="27" t="n">
        <f aca="false">G8*'Economia unitaria'!$B$19</f>
        <v>14700</v>
      </c>
      <c r="H11" s="27" t="n">
        <f aca="false">H8*'Economia unitaria'!$B$19</f>
        <v>20580</v>
      </c>
      <c r="I11" s="27" t="n">
        <f aca="false">I8*'Economia unitaria'!$B$19</f>
        <v>29400</v>
      </c>
      <c r="J11" s="27" t="n">
        <f aca="false">J8*'Economia unitaria'!$B$19</f>
        <v>39200</v>
      </c>
      <c r="K11" s="27" t="n">
        <f aca="false">K8*'Economia unitaria'!$B$19</f>
        <v>44100</v>
      </c>
    </row>
    <row r="12" customFormat="false" ht="15" hidden="false" customHeight="false" outlineLevel="0" collapsed="false">
      <c r="A12" s="3" t="s">
        <v>242</v>
      </c>
      <c r="B12" s="27" t="n">
        <f aca="false">B9*'Economia unitaria'!$D$7</f>
        <v>0</v>
      </c>
      <c r="C12" s="27" t="n">
        <f aca="false">C9*'Economia unitaria'!$D$7</f>
        <v>0</v>
      </c>
      <c r="D12" s="27" t="n">
        <f aca="false">D9*'Economia unitaria'!$D$7</f>
        <v>0</v>
      </c>
      <c r="E12" s="27" t="n">
        <f aca="false">E9*'Economia unitaria'!$D$7</f>
        <v>0</v>
      </c>
      <c r="F12" s="27" t="n">
        <f aca="false">F9*'Economia unitaria'!$D$7</f>
        <v>5282.64462809917</v>
      </c>
      <c r="G12" s="27" t="n">
        <f aca="false">G9*'Economia unitaria'!$D$7</f>
        <v>11885.9504132231</v>
      </c>
      <c r="H12" s="27" t="n">
        <f aca="false">H9*'Economia unitaria'!$D$7</f>
        <v>19809.9173553719</v>
      </c>
      <c r="I12" s="27" t="n">
        <f aca="false">I9*'Economia unitaria'!$D$7</f>
        <v>29714.8760330578</v>
      </c>
      <c r="J12" s="27" t="n">
        <f aca="false">J9*'Economia unitaria'!$D$7</f>
        <v>39619.8347107438</v>
      </c>
      <c r="K12" s="27" t="n">
        <f aca="false">K9*'Economia unitaria'!$D$7</f>
        <v>52826.4462809917</v>
      </c>
    </row>
    <row r="13" customFormat="false" ht="15" hidden="false" customHeight="false" outlineLevel="0" collapsed="false">
      <c r="A13" s="3" t="s">
        <v>243</v>
      </c>
      <c r="B13" s="27" t="n">
        <f aca="false">B10*'Economia unitaria'!$B$7</f>
        <v>0</v>
      </c>
      <c r="C13" s="27" t="n">
        <f aca="false">C10*'Economia unitaria'!$B$7</f>
        <v>0</v>
      </c>
      <c r="D13" s="27" t="n">
        <f aca="false">D10*'Economia unitaria'!$B$7</f>
        <v>0</v>
      </c>
      <c r="E13" s="27" t="n">
        <f aca="false">E10*'Economia unitaria'!$B$7</f>
        <v>0</v>
      </c>
      <c r="F13" s="27" t="n">
        <f aca="false">F10*'Economia unitaria'!$B$7</f>
        <v>0</v>
      </c>
      <c r="G13" s="27" t="n">
        <f aca="false">G10*'Economia unitaria'!$B$7</f>
        <v>0</v>
      </c>
      <c r="H13" s="27" t="n">
        <f aca="false">H10*'Economia unitaria'!$B$7</f>
        <v>9583.47107438017</v>
      </c>
      <c r="I13" s="27" t="n">
        <f aca="false">I10*'Economia unitaria'!$B$7</f>
        <v>19166.9421487603</v>
      </c>
      <c r="J13" s="27" t="n">
        <f aca="false">J10*'Economia unitaria'!$B$7</f>
        <v>359380.165289256</v>
      </c>
      <c r="K13" s="27" t="n">
        <f aca="false">K10*'Economia unitaria'!$B$7</f>
        <v>47917.3553719008</v>
      </c>
    </row>
    <row r="14" customFormat="false" ht="15" hidden="false" customHeight="false" outlineLevel="0" collapsed="false">
      <c r="A14" s="9" t="s">
        <v>244</v>
      </c>
      <c r="B14" s="28" t="n">
        <f aca="false">SUM(B11:B13)</f>
        <v>0</v>
      </c>
      <c r="C14" s="28" t="n">
        <f aca="false">SUM(C11:C13)</f>
        <v>0</v>
      </c>
      <c r="D14" s="28" t="n">
        <f aca="false">SUM(D11:D13)</f>
        <v>2940</v>
      </c>
      <c r="E14" s="28" t="n">
        <f aca="false">SUM(E11:E13)</f>
        <v>5880</v>
      </c>
      <c r="F14" s="28" t="n">
        <f aca="false">SUM(F11:F13)</f>
        <v>14102.6446280992</v>
      </c>
      <c r="G14" s="28" t="n">
        <f aca="false">SUM(G11:G13)</f>
        <v>26585.9504132231</v>
      </c>
      <c r="H14" s="28" t="n">
        <f aca="false">SUM(H11:H13)</f>
        <v>49973.3884297521</v>
      </c>
      <c r="I14" s="28" t="n">
        <f aca="false">SUM(I11:I13)</f>
        <v>78281.8181818182</v>
      </c>
      <c r="J14" s="28" t="n">
        <f aca="false">SUM(J11:J13)</f>
        <v>438200</v>
      </c>
      <c r="K14" s="28" t="n">
        <f aca="false">SUM(K11:K13)</f>
        <v>144843.801652893</v>
      </c>
    </row>
    <row r="16" customFormat="false" ht="15" hidden="false" customHeight="false" outlineLevel="0" collapsed="false">
      <c r="A16" s="9" t="s">
        <v>245</v>
      </c>
    </row>
    <row r="17" customFormat="false" ht="15" hidden="false" customHeight="false" outlineLevel="0" collapsed="false">
      <c r="A17" s="3" t="s">
        <v>246</v>
      </c>
      <c r="B17" s="27" t="n">
        <f aca="false">-Supuestos!$B$44*3</f>
        <v>-1350</v>
      </c>
      <c r="C17" s="27" t="n">
        <f aca="false">-Supuestos!$B$44*3</f>
        <v>-1350</v>
      </c>
      <c r="D17" s="27" t="n">
        <f aca="false">-Supuestos!$B$44*3</f>
        <v>-1350</v>
      </c>
      <c r="E17" s="27" t="n">
        <f aca="false">-Supuestos!$B$44*3</f>
        <v>-1350</v>
      </c>
      <c r="F17" s="27" t="n">
        <f aca="false">-Supuestos!$B$44*3</f>
        <v>-1350</v>
      </c>
      <c r="G17" s="27" t="n">
        <f aca="false">-Supuestos!$B$44*3</f>
        <v>-1350</v>
      </c>
      <c r="H17" s="27" t="n">
        <f aca="false">-Supuestos!$B$44*3</f>
        <v>-1350</v>
      </c>
      <c r="I17" s="27" t="n">
        <f aca="false">-Supuestos!$B$44*3</f>
        <v>-1350</v>
      </c>
      <c r="J17" s="27" t="n">
        <f aca="false">-Supuestos!$B$44*3</f>
        <v>-1350</v>
      </c>
      <c r="K17" s="27" t="n">
        <f aca="false">-Supuestos!$B$44*3</f>
        <v>-1350</v>
      </c>
    </row>
    <row r="18" customFormat="false" ht="15" hidden="false" customHeight="false" outlineLevel="0" collapsed="false">
      <c r="A18" s="3" t="s">
        <v>247</v>
      </c>
      <c r="B18" s="15" t="n">
        <v>-100</v>
      </c>
      <c r="C18" s="15" t="n">
        <v>-300</v>
      </c>
      <c r="D18" s="15" t="n">
        <v>-600</v>
      </c>
      <c r="E18" s="15" t="n">
        <v>-900</v>
      </c>
      <c r="F18" s="15" t="n">
        <v>-1500</v>
      </c>
      <c r="G18" s="15" t="n">
        <v>-2500</v>
      </c>
      <c r="H18" s="15" t="n">
        <v>-4000</v>
      </c>
      <c r="I18" s="15" t="n">
        <v>-9000</v>
      </c>
      <c r="J18" s="15" t="n">
        <v>-6000</v>
      </c>
      <c r="K18" s="15" t="n">
        <v>-2000</v>
      </c>
    </row>
    <row r="19" customFormat="false" ht="15" hidden="false" customHeight="false" outlineLevel="0" collapsed="false">
      <c r="A19" s="3" t="s">
        <v>248</v>
      </c>
      <c r="B19" s="27" t="n">
        <f aca="false">-B9*'BOM kit'!$C$15</f>
        <v>-0</v>
      </c>
      <c r="C19" s="27" t="n">
        <f aca="false">-C9*'BOM kit'!$C$15</f>
        <v>-0</v>
      </c>
      <c r="D19" s="27" t="n">
        <f aca="false">-D9*'BOM kit'!$C$15</f>
        <v>-0</v>
      </c>
      <c r="E19" s="27" t="n">
        <f aca="false">-E9*'BOM kit'!$C$15</f>
        <v>-0</v>
      </c>
      <c r="F19" s="27" t="n">
        <f aca="false">-F9*'BOM kit'!$C$15</f>
        <v>-2952</v>
      </c>
      <c r="G19" s="27" t="n">
        <f aca="false">-G9*'BOM kit'!$C$15</f>
        <v>-6642</v>
      </c>
      <c r="H19" s="27" t="n">
        <f aca="false">-H9*'BOM kit'!$C$15</f>
        <v>-11070</v>
      </c>
      <c r="I19" s="27" t="n">
        <f aca="false">-I9*'BOM kit'!$C$15</f>
        <v>-16605</v>
      </c>
      <c r="J19" s="27" t="n">
        <f aca="false">-J9*'BOM kit'!$C$15</f>
        <v>-22140</v>
      </c>
      <c r="K19" s="27" t="n">
        <f aca="false">-K9*'BOM kit'!$C$15</f>
        <v>-29520</v>
      </c>
    </row>
    <row r="20" customFormat="false" ht="15" hidden="false" customHeight="false" outlineLevel="0" collapsed="false">
      <c r="A20" s="3" t="s">
        <v>249</v>
      </c>
      <c r="B20" s="27" t="n">
        <f aca="false">-B10*'BOM mesa'!$C$24</f>
        <v>-0</v>
      </c>
      <c r="C20" s="27" t="n">
        <f aca="false">-C10*'BOM mesa'!$C$24</f>
        <v>-0</v>
      </c>
      <c r="D20" s="27" t="n">
        <f aca="false">-D10*'BOM mesa'!$C$24</f>
        <v>-0</v>
      </c>
      <c r="E20" s="27" t="n">
        <f aca="false">-E10*'BOM mesa'!$C$24</f>
        <v>-0</v>
      </c>
      <c r="F20" s="27" t="n">
        <f aca="false">-F10*'BOM mesa'!$C$24</f>
        <v>-0</v>
      </c>
      <c r="G20" s="27" t="n">
        <f aca="false">-G10*'BOM mesa'!$C$24</f>
        <v>-0</v>
      </c>
      <c r="H20" s="27" t="n">
        <f aca="false">-H10*'BOM mesa'!$C$24</f>
        <v>-4228</v>
      </c>
      <c r="I20" s="27" t="n">
        <f aca="false">-I10*'BOM mesa'!$C$24</f>
        <v>-8456</v>
      </c>
      <c r="J20" s="27" t="n">
        <f aca="false">-J10*'BOM mesa'!$C$24</f>
        <v>-158550</v>
      </c>
      <c r="K20" s="27" t="n">
        <f aca="false">-K10*'BOM mesa'!$C$24</f>
        <v>-21140</v>
      </c>
    </row>
    <row r="21" customFormat="false" ht="15" hidden="false" customHeight="false" outlineLevel="0" collapsed="false">
      <c r="A21" s="3" t="s">
        <v>210</v>
      </c>
      <c r="B21" s="15" t="n">
        <v>0</v>
      </c>
      <c r="C21" s="15" t="n">
        <v>-1500</v>
      </c>
      <c r="D21" s="15" t="n">
        <v>-1500</v>
      </c>
      <c r="E21" s="15" t="n">
        <v>-1500</v>
      </c>
      <c r="F21" s="15" t="n">
        <v>-1500</v>
      </c>
      <c r="G21" s="15" t="n">
        <v>0</v>
      </c>
      <c r="H21" s="15" t="n">
        <v>0</v>
      </c>
      <c r="I21" s="15" t="n">
        <v>0</v>
      </c>
      <c r="J21" s="15" t="n">
        <v>0</v>
      </c>
      <c r="K21" s="15" t="n">
        <v>0</v>
      </c>
    </row>
    <row r="22" customFormat="false" ht="15" hidden="false" customHeight="false" outlineLevel="0" collapsed="false">
      <c r="A22" s="3" t="s">
        <v>250</v>
      </c>
      <c r="B22" s="15" t="n">
        <v>0</v>
      </c>
      <c r="C22" s="15" t="n">
        <v>0</v>
      </c>
      <c r="D22" s="15" t="n">
        <v>0</v>
      </c>
      <c r="E22" s="15" t="n">
        <v>0</v>
      </c>
      <c r="F22" s="15" t="n">
        <v>0</v>
      </c>
      <c r="G22" s="15" t="n">
        <v>-2000</v>
      </c>
      <c r="H22" s="15" t="n">
        <v>-2700</v>
      </c>
      <c r="I22" s="15" t="n">
        <v>0</v>
      </c>
      <c r="J22" s="15" t="n">
        <v>0</v>
      </c>
      <c r="K22" s="15" t="n">
        <v>0</v>
      </c>
    </row>
    <row r="23" customFormat="false" ht="15" hidden="false" customHeight="false" outlineLevel="0" collapsed="false">
      <c r="A23" s="3" t="s">
        <v>93</v>
      </c>
      <c r="B23" s="15" t="n">
        <v>0</v>
      </c>
      <c r="C23" s="15" t="n">
        <v>0</v>
      </c>
      <c r="D23" s="15" t="n">
        <v>0</v>
      </c>
      <c r="E23" s="15" t="n">
        <v>0</v>
      </c>
      <c r="F23" s="15" t="n">
        <v>0</v>
      </c>
      <c r="G23" s="15" t="n">
        <v>0</v>
      </c>
      <c r="H23" s="15" t="n">
        <v>-3000</v>
      </c>
      <c r="I23" s="15" t="n">
        <v>-6000</v>
      </c>
      <c r="J23" s="15" t="n">
        <v>0</v>
      </c>
      <c r="K23" s="15" t="n">
        <v>0</v>
      </c>
    </row>
    <row r="24" customFormat="false" ht="15" hidden="false" customHeight="false" outlineLevel="0" collapsed="false">
      <c r="A24" s="3" t="s">
        <v>251</v>
      </c>
      <c r="B24" s="15" t="n">
        <v>0</v>
      </c>
      <c r="C24" s="15" t="n">
        <v>0</v>
      </c>
      <c r="D24" s="15" t="n">
        <v>0</v>
      </c>
      <c r="E24" s="15" t="n">
        <v>-4000</v>
      </c>
      <c r="F24" s="15" t="n">
        <v>-4000</v>
      </c>
      <c r="G24" s="15" t="n">
        <v>-4000</v>
      </c>
      <c r="H24" s="15" t="n">
        <v>0</v>
      </c>
      <c r="I24" s="15" t="n">
        <v>0</v>
      </c>
      <c r="J24" s="15" t="n">
        <v>0</v>
      </c>
      <c r="K24" s="15" t="n">
        <v>0</v>
      </c>
    </row>
    <row r="25" customFormat="false" ht="15" hidden="false" customHeight="false" outlineLevel="0" collapsed="false">
      <c r="A25" s="9" t="s">
        <v>252</v>
      </c>
      <c r="B25" s="28" t="n">
        <f aca="false">SUM(B17:B24)</f>
        <v>-1450</v>
      </c>
      <c r="C25" s="28" t="n">
        <f aca="false">SUM(C17:C24)</f>
        <v>-3150</v>
      </c>
      <c r="D25" s="28" t="n">
        <f aca="false">SUM(D17:D24)</f>
        <v>-3450</v>
      </c>
      <c r="E25" s="28" t="n">
        <f aca="false">SUM(E17:E24)</f>
        <v>-7750</v>
      </c>
      <c r="F25" s="28" t="n">
        <f aca="false">SUM(F17:F24)</f>
        <v>-11302</v>
      </c>
      <c r="G25" s="28" t="n">
        <f aca="false">SUM(G17:G24)</f>
        <v>-16492</v>
      </c>
      <c r="H25" s="28" t="n">
        <f aca="false">SUM(H17:H24)</f>
        <v>-26348</v>
      </c>
      <c r="I25" s="28" t="n">
        <f aca="false">SUM(I17:I24)</f>
        <v>-41411</v>
      </c>
      <c r="J25" s="28" t="n">
        <f aca="false">SUM(J17:J24)</f>
        <v>-188040</v>
      </c>
      <c r="K25" s="28" t="n">
        <f aca="false">SUM(K17:K24)</f>
        <v>-54010</v>
      </c>
    </row>
    <row r="27" customFormat="false" ht="15" hidden="false" customHeight="false" outlineLevel="0" collapsed="false">
      <c r="A27" s="9" t="s">
        <v>253</v>
      </c>
      <c r="B27" s="28" t="n">
        <f aca="false">B14+B25</f>
        <v>-1450</v>
      </c>
      <c r="C27" s="28" t="n">
        <f aca="false">C14+C25</f>
        <v>-3150</v>
      </c>
      <c r="D27" s="28" t="n">
        <f aca="false">D14+D25</f>
        <v>-510</v>
      </c>
      <c r="E27" s="28" t="n">
        <f aca="false">E14+E25</f>
        <v>-1870</v>
      </c>
      <c r="F27" s="28" t="n">
        <f aca="false">F14+F25</f>
        <v>2800.64462809917</v>
      </c>
      <c r="G27" s="28" t="n">
        <f aca="false">G14+G25</f>
        <v>10093.9504132231</v>
      </c>
      <c r="H27" s="28" t="n">
        <f aca="false">H14+H25</f>
        <v>23625.3884297521</v>
      </c>
      <c r="I27" s="28" t="n">
        <f aca="false">I14+I25</f>
        <v>36870.8181818182</v>
      </c>
      <c r="J27" s="28" t="n">
        <f aca="false">J14+J25</f>
        <v>250160</v>
      </c>
      <c r="K27" s="28" t="n">
        <f aca="false">K14+K25</f>
        <v>90833.8016528926</v>
      </c>
    </row>
    <row r="28" customFormat="false" ht="15" hidden="false" customHeight="false" outlineLevel="0" collapsed="false">
      <c r="A28" s="3" t="s">
        <v>254</v>
      </c>
      <c r="B28" s="26" t="n">
        <f aca="false">Supuestos!$B$7</f>
        <v>5000</v>
      </c>
      <c r="C28" s="27" t="n">
        <f aca="false">B29</f>
        <v>3550</v>
      </c>
      <c r="D28" s="27" t="n">
        <f aca="false">C29</f>
        <v>400</v>
      </c>
      <c r="E28" s="27" t="n">
        <f aca="false">D29</f>
        <v>-110</v>
      </c>
      <c r="F28" s="27" t="n">
        <f aca="false">E29</f>
        <v>-1980</v>
      </c>
      <c r="G28" s="27" t="n">
        <f aca="false">F29</f>
        <v>820.644628099173</v>
      </c>
      <c r="H28" s="27" t="n">
        <f aca="false">G29</f>
        <v>10914.5950413223</v>
      </c>
      <c r="I28" s="27" t="n">
        <f aca="false">H29</f>
        <v>34539.9834710744</v>
      </c>
      <c r="J28" s="27" t="n">
        <f aca="false">I29</f>
        <v>71410.8016528926</v>
      </c>
      <c r="K28" s="27" t="n">
        <f aca="false">J29</f>
        <v>321570.801652893</v>
      </c>
    </row>
    <row r="29" customFormat="false" ht="15" hidden="false" customHeight="false" outlineLevel="0" collapsed="false">
      <c r="A29" s="9" t="s">
        <v>255</v>
      </c>
      <c r="B29" s="28" t="n">
        <f aca="false">B28+B27</f>
        <v>3550</v>
      </c>
      <c r="C29" s="28" t="n">
        <f aca="false">C28+C27</f>
        <v>400</v>
      </c>
      <c r="D29" s="28" t="n">
        <f aca="false">D28+D27</f>
        <v>-110</v>
      </c>
      <c r="E29" s="28" t="n">
        <f aca="false">E28+E27</f>
        <v>-1980</v>
      </c>
      <c r="F29" s="28" t="n">
        <f aca="false">F28+F27</f>
        <v>820.644628099173</v>
      </c>
      <c r="G29" s="28" t="n">
        <f aca="false">G28+G27</f>
        <v>10914.5950413223</v>
      </c>
      <c r="H29" s="28" t="n">
        <f aca="false">H28+H27</f>
        <v>34539.9834710744</v>
      </c>
      <c r="I29" s="28" t="n">
        <f aca="false">I28+I27</f>
        <v>71410.8016528926</v>
      </c>
      <c r="J29" s="28" t="n">
        <f aca="false">J28+J27</f>
        <v>321570.801652893</v>
      </c>
      <c r="K29" s="28" t="n">
        <f aca="false">K28+K27</f>
        <v>412404.603305785</v>
      </c>
    </row>
    <row r="30" customFormat="false" ht="15" hidden="false" customHeight="false" outlineLevel="0" collapsed="false">
      <c r="A30" s="3" t="s">
        <v>256</v>
      </c>
      <c r="B30" s="36" t="str">
        <f aca="false">IF(B29&lt;0,"SI","")</f>
        <v/>
      </c>
      <c r="C30" s="36" t="str">
        <f aca="false">IF(C29&lt;0,"SI","")</f>
        <v/>
      </c>
      <c r="D30" s="36" t="str">
        <f aca="false">IF(D29&lt;0,"SI","")</f>
        <v>SI</v>
      </c>
      <c r="E30" s="36" t="str">
        <f aca="false">IF(E29&lt;0,"SI","")</f>
        <v>SI</v>
      </c>
      <c r="F30" s="36" t="str">
        <f aca="false">IF(F29&lt;0,"SI","")</f>
        <v/>
      </c>
      <c r="G30" s="36" t="str">
        <f aca="false">IF(G29&lt;0,"SI","")</f>
        <v/>
      </c>
      <c r="H30" s="36" t="str">
        <f aca="false">IF(H29&lt;0,"SI","")</f>
        <v/>
      </c>
      <c r="I30" s="36" t="str">
        <f aca="false">IF(I29&lt;0,"SI","")</f>
        <v/>
      </c>
      <c r="J30" s="36" t="str">
        <f aca="false">IF(J29&lt;0,"SI","")</f>
        <v/>
      </c>
      <c r="K30" s="36" t="str">
        <f aca="false">IF(K29&lt;0,"SI","")</f>
        <v/>
      </c>
    </row>
    <row r="32" customFormat="false" ht="15" hidden="false" customHeight="false" outlineLevel="0" collapsed="false">
      <c r="A32" s="2" t="s">
        <v>257</v>
      </c>
    </row>
    <row r="33" customFormat="false" ht="15" hidden="false" customHeight="false" outlineLevel="0" collapsed="false">
      <c r="A33" s="34" t="s">
        <v>258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2026-08-23T15:07:50Z</dcterms:created>
  <dc:creator>openpyxl</dc:creator>
  <dc:description/>
  <dc:language>en-US</dc:language>
  <cp:lastModifiedBy/>
  <dcterms:modified xsi:type="dcterms:W3CDTF">2026-08-23T15:07:50Z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